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naoufellassel/Downloads/"/>
    </mc:Choice>
  </mc:AlternateContent>
  <xr:revisionPtr revIDLastSave="0" documentId="13_ncr:1_{DECFCE7E-F7CC-3847-8C15-EBECEEF585A2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Thesis" sheetId="12" r:id="rId1"/>
    <sheet name="Reporting" sheetId="2" r:id="rId2"/>
    <sheet name="IS" sheetId="3" r:id="rId3"/>
    <sheet name="BS" sheetId="4" r:id="rId4"/>
    <sheet name="CF" sheetId="5" r:id="rId5"/>
    <sheet name="Analysis" sheetId="7" r:id="rId6"/>
    <sheet name="Metrics" sheetId="6" r:id="rId7"/>
    <sheet name="Model" sheetId="8" r:id="rId8"/>
    <sheet name="DCF" sheetId="9" r:id="rId9"/>
    <sheet name="Comps" sheetId="11" r:id="rId10"/>
  </sheets>
  <definedNames>
    <definedName name="_xlnm._FilterDatabase" localSheetId="9" hidden="1">Comps!$A$2:$I$7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1" l="1"/>
  <c r="B26" i="11"/>
  <c r="D10" i="11"/>
  <c r="D9" i="11"/>
  <c r="B25" i="11"/>
  <c r="D20" i="11"/>
  <c r="F9" i="11"/>
  <c r="E9" i="11"/>
  <c r="K1" i="9"/>
  <c r="G9" i="11"/>
  <c r="G20" i="11"/>
  <c r="G10" i="11"/>
  <c r="F10" i="11"/>
  <c r="E10" i="11"/>
  <c r="F20" i="11"/>
  <c r="E20" i="11"/>
  <c r="J23" i="8"/>
  <c r="J22" i="8"/>
  <c r="J21" i="8"/>
  <c r="J20" i="8"/>
  <c r="J11" i="8"/>
  <c r="J10" i="8"/>
  <c r="J9" i="8"/>
  <c r="J8" i="8"/>
  <c r="J6" i="8"/>
  <c r="J18" i="8" s="1"/>
  <c r="I23" i="8"/>
  <c r="I22" i="8"/>
  <c r="I21" i="8"/>
  <c r="I11" i="8"/>
  <c r="I10" i="8"/>
  <c r="I9" i="8"/>
  <c r="I8" i="8"/>
  <c r="I20" i="8" s="1"/>
  <c r="I6" i="8"/>
  <c r="I18" i="8" s="1"/>
  <c r="J18" i="6"/>
  <c r="J15" i="6"/>
  <c r="J14" i="6"/>
  <c r="J13" i="6"/>
  <c r="J8" i="6"/>
  <c r="I54" i="6"/>
  <c r="J54" i="6" s="1"/>
  <c r="J12" i="6" s="1"/>
  <c r="J7" i="8" s="1"/>
  <c r="I50" i="6"/>
  <c r="I7" i="6" s="1"/>
  <c r="I5" i="8" s="1"/>
  <c r="I48" i="6"/>
  <c r="J48" i="6" s="1"/>
  <c r="J6" i="6" s="1"/>
  <c r="J4" i="8" s="1"/>
  <c r="I18" i="6"/>
  <c r="I15" i="6"/>
  <c r="I14" i="6"/>
  <c r="I13" i="6"/>
  <c r="I8" i="6"/>
  <c r="P50" i="6"/>
  <c r="P7" i="6" s="1"/>
  <c r="P5" i="8" s="1"/>
  <c r="P48" i="6"/>
  <c r="Q48" i="6" s="1"/>
  <c r="R48" i="6" s="1"/>
  <c r="F54" i="6"/>
  <c r="F51" i="6"/>
  <c r="F48" i="6"/>
  <c r="G48" i="6" s="1"/>
  <c r="H48" i="6" s="1"/>
  <c r="K7" i="9"/>
  <c r="C3" i="9"/>
  <c r="C4" i="9"/>
  <c r="D5" i="9"/>
  <c r="E5" i="9" s="1"/>
  <c r="F5" i="9" s="1"/>
  <c r="G5" i="9" s="1"/>
  <c r="H5" i="9" s="1"/>
  <c r="C6" i="9"/>
  <c r="D6" i="9"/>
  <c r="E6" i="9" s="1"/>
  <c r="F6" i="9" s="1"/>
  <c r="G6" i="9" s="1"/>
  <c r="H6" i="9" s="1"/>
  <c r="C20" i="9"/>
  <c r="K5" i="9"/>
  <c r="C21" i="9" s="1"/>
  <c r="K6" i="9"/>
  <c r="D37" i="3"/>
  <c r="D41" i="3"/>
  <c r="C41" i="3"/>
  <c r="P54" i="6"/>
  <c r="Q54" i="6" s="1"/>
  <c r="Q12" i="6" s="1"/>
  <c r="Q7" i="8" s="1"/>
  <c r="L54" i="6"/>
  <c r="L12" i="6" s="1"/>
  <c r="G10" i="8"/>
  <c r="P6" i="8"/>
  <c r="N6" i="8"/>
  <c r="M6" i="8"/>
  <c r="L5" i="8"/>
  <c r="F14" i="6"/>
  <c r="G14" i="6" s="1"/>
  <c r="P15" i="6"/>
  <c r="Q15" i="6" s="1"/>
  <c r="R15" i="6" s="1"/>
  <c r="R10" i="8" s="1"/>
  <c r="P14" i="6"/>
  <c r="Q14" i="6" s="1"/>
  <c r="R14" i="6" s="1"/>
  <c r="R9" i="8" s="1"/>
  <c r="P13" i="6"/>
  <c r="Q13" i="6" s="1"/>
  <c r="Q8" i="8" s="1"/>
  <c r="L15" i="6"/>
  <c r="M15" i="6" s="1"/>
  <c r="N15" i="6" s="1"/>
  <c r="N10" i="8" s="1"/>
  <c r="L13" i="6"/>
  <c r="L8" i="8" s="1"/>
  <c r="L14" i="6"/>
  <c r="L9" i="8" s="1"/>
  <c r="F18" i="6"/>
  <c r="G18" i="6" s="1"/>
  <c r="H18" i="6" s="1"/>
  <c r="L18" i="6" s="1"/>
  <c r="M18" i="6" s="1"/>
  <c r="N18" i="6" s="1"/>
  <c r="P18" i="6" s="1"/>
  <c r="Q18" i="6" s="1"/>
  <c r="R18" i="6" s="1"/>
  <c r="R11" i="8" s="1"/>
  <c r="F15" i="6"/>
  <c r="G15" i="6" s="1"/>
  <c r="H15" i="6" s="1"/>
  <c r="H10" i="8" s="1"/>
  <c r="F13" i="6"/>
  <c r="F8" i="8" s="1"/>
  <c r="G13" i="6"/>
  <c r="H13" i="6" s="1"/>
  <c r="H8" i="8" s="1"/>
  <c r="L48" i="6"/>
  <c r="M48" i="6" s="1"/>
  <c r="N48" i="6" s="1"/>
  <c r="B55" i="6"/>
  <c r="D55" i="6"/>
  <c r="F55" i="6" s="1"/>
  <c r="C55" i="6"/>
  <c r="P8" i="6"/>
  <c r="Q8" i="6" s="1"/>
  <c r="R8" i="6" s="1"/>
  <c r="R6" i="8" s="1"/>
  <c r="L8" i="6"/>
  <c r="M8" i="6" s="1"/>
  <c r="N8" i="6" s="1"/>
  <c r="Q49" i="6"/>
  <c r="L50" i="6"/>
  <c r="L7" i="6" s="1"/>
  <c r="M49" i="6"/>
  <c r="N49" i="6" s="1"/>
  <c r="M51" i="6"/>
  <c r="F8" i="6"/>
  <c r="F6" i="8" s="1"/>
  <c r="E30" i="8"/>
  <c r="D30" i="8"/>
  <c r="C30" i="8"/>
  <c r="E26" i="8"/>
  <c r="D26" i="8"/>
  <c r="C26" i="8"/>
  <c r="E11" i="8"/>
  <c r="D11" i="8"/>
  <c r="C11" i="8"/>
  <c r="D23" i="8" s="1"/>
  <c r="B11" i="8"/>
  <c r="E10" i="8"/>
  <c r="D10" i="8"/>
  <c r="C10" i="8"/>
  <c r="B10" i="8"/>
  <c r="E9" i="8"/>
  <c r="D9" i="8"/>
  <c r="C9" i="8"/>
  <c r="B9" i="8"/>
  <c r="E8" i="8"/>
  <c r="D8" i="8"/>
  <c r="C8" i="8"/>
  <c r="D20" i="8" s="1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D51" i="6"/>
  <c r="C51" i="6"/>
  <c r="B51" i="6"/>
  <c r="F50" i="6"/>
  <c r="G50" i="6" s="1"/>
  <c r="H50" i="6" s="1"/>
  <c r="D49" i="6"/>
  <c r="C49" i="6"/>
  <c r="B49" i="6"/>
  <c r="F6" i="6"/>
  <c r="F4" i="8" s="1"/>
  <c r="B18" i="6"/>
  <c r="D16" i="6"/>
  <c r="C16" i="6"/>
  <c r="B16" i="6"/>
  <c r="D9" i="6"/>
  <c r="C9" i="6"/>
  <c r="B9" i="6"/>
  <c r="D14" i="5"/>
  <c r="D13" i="5"/>
  <c r="C13" i="5"/>
  <c r="B13" i="5"/>
  <c r="B14" i="5" s="1"/>
  <c r="B12" i="5"/>
  <c r="C11" i="5"/>
  <c r="C14" i="5" s="1"/>
  <c r="C54" i="4"/>
  <c r="C56" i="4" s="1"/>
  <c r="B54" i="4"/>
  <c r="C48" i="4"/>
  <c r="C46" i="4"/>
  <c r="B46" i="4"/>
  <c r="B48" i="4" s="1"/>
  <c r="B56" i="4" s="1"/>
  <c r="C41" i="4"/>
  <c r="B41" i="4"/>
  <c r="C28" i="4"/>
  <c r="B28" i="4"/>
  <c r="C18" i="4"/>
  <c r="C30" i="4" s="1"/>
  <c r="B18" i="4"/>
  <c r="D31" i="3"/>
  <c r="D32" i="3" s="1"/>
  <c r="C31" i="3"/>
  <c r="B31" i="3"/>
  <c r="D20" i="3"/>
  <c r="D33" i="3" s="1"/>
  <c r="B20" i="3"/>
  <c r="B33" i="3" s="1"/>
  <c r="B37" i="3" s="1"/>
  <c r="B39" i="3" s="1"/>
  <c r="B18" i="3"/>
  <c r="D16" i="3"/>
  <c r="C16" i="3"/>
  <c r="C20" i="3" s="1"/>
  <c r="C33" i="3" s="1"/>
  <c r="C37" i="3" s="1"/>
  <c r="C39" i="3" s="1"/>
  <c r="B16" i="3"/>
  <c r="D9" i="3"/>
  <c r="C9" i="3"/>
  <c r="B9" i="3"/>
  <c r="B27" i="11" l="1"/>
  <c r="I17" i="8"/>
  <c r="D19" i="8"/>
  <c r="E23" i="8"/>
  <c r="C12" i="8"/>
  <c r="C27" i="8" s="1"/>
  <c r="C31" i="8" s="1"/>
  <c r="C32" i="8" s="1"/>
  <c r="D17" i="8"/>
  <c r="D21" i="8"/>
  <c r="E17" i="8"/>
  <c r="E19" i="8"/>
  <c r="E20" i="8"/>
  <c r="P17" i="8"/>
  <c r="D16" i="8"/>
  <c r="D18" i="8"/>
  <c r="D22" i="8"/>
  <c r="I12" i="6"/>
  <c r="I6" i="6"/>
  <c r="I4" i="8" s="1"/>
  <c r="I16" i="8" s="1"/>
  <c r="J50" i="6"/>
  <c r="J7" i="6" s="1"/>
  <c r="J5" i="8" s="1"/>
  <c r="J12" i="8" s="1"/>
  <c r="J16" i="6"/>
  <c r="P12" i="6"/>
  <c r="P7" i="8" s="1"/>
  <c r="Q19" i="8" s="1"/>
  <c r="F9" i="8"/>
  <c r="F21" i="8" s="1"/>
  <c r="Q9" i="8"/>
  <c r="M13" i="6"/>
  <c r="F10" i="8"/>
  <c r="L10" i="8"/>
  <c r="L22" i="8" s="1"/>
  <c r="P8" i="8"/>
  <c r="P20" i="8" s="1"/>
  <c r="G9" i="8"/>
  <c r="H14" i="6"/>
  <c r="H9" i="8" s="1"/>
  <c r="F12" i="6"/>
  <c r="C20" i="6"/>
  <c r="C33" i="6" s="1"/>
  <c r="M14" i="6"/>
  <c r="Q11" i="8"/>
  <c r="M10" i="8"/>
  <c r="P10" i="8"/>
  <c r="N11" i="8"/>
  <c r="F11" i="8"/>
  <c r="M11" i="8"/>
  <c r="L6" i="8"/>
  <c r="L18" i="8" s="1"/>
  <c r="G8" i="8"/>
  <c r="Q10" i="8"/>
  <c r="P11" i="8"/>
  <c r="Q50" i="6"/>
  <c r="R50" i="6" s="1"/>
  <c r="R7" i="6" s="1"/>
  <c r="R5" i="8" s="1"/>
  <c r="G11" i="8"/>
  <c r="G54" i="6"/>
  <c r="H54" i="6" s="1"/>
  <c r="Q6" i="8"/>
  <c r="P9" i="8"/>
  <c r="P21" i="8" s="1"/>
  <c r="H11" i="8"/>
  <c r="M54" i="6"/>
  <c r="N54" i="6" s="1"/>
  <c r="N12" i="6" s="1"/>
  <c r="N7" i="8" s="1"/>
  <c r="L11" i="8"/>
  <c r="D3" i="9"/>
  <c r="E3" i="9" s="1"/>
  <c r="F3" i="9" s="1"/>
  <c r="G3" i="9" s="1"/>
  <c r="H3" i="9" s="1"/>
  <c r="H12" i="6"/>
  <c r="H7" i="8" s="1"/>
  <c r="K10" i="9"/>
  <c r="D39" i="3"/>
  <c r="P16" i="6"/>
  <c r="R54" i="6"/>
  <c r="R12" i="6" s="1"/>
  <c r="R7" i="8" s="1"/>
  <c r="R19" i="8" s="1"/>
  <c r="L7" i="8"/>
  <c r="L19" i="8" s="1"/>
  <c r="L16" i="6"/>
  <c r="R13" i="6"/>
  <c r="R8" i="8" s="1"/>
  <c r="R20" i="8" s="1"/>
  <c r="Q16" i="6"/>
  <c r="L6" i="6"/>
  <c r="G6" i="6"/>
  <c r="G4" i="8" s="1"/>
  <c r="F7" i="6"/>
  <c r="F5" i="8" s="1"/>
  <c r="F17" i="8" s="1"/>
  <c r="G8" i="6"/>
  <c r="G6" i="8" s="1"/>
  <c r="M50" i="6"/>
  <c r="N50" i="6" s="1"/>
  <c r="P6" i="6"/>
  <c r="H6" i="6"/>
  <c r="H4" i="8" s="1"/>
  <c r="D20" i="6"/>
  <c r="D25" i="6" s="1"/>
  <c r="Q6" i="6"/>
  <c r="Q4" i="8" s="1"/>
  <c r="R49" i="6"/>
  <c r="R6" i="6" s="1"/>
  <c r="R4" i="8" s="1"/>
  <c r="N6" i="6"/>
  <c r="N4" i="8" s="1"/>
  <c r="M6" i="6"/>
  <c r="M4" i="8" s="1"/>
  <c r="N51" i="6"/>
  <c r="F16" i="8"/>
  <c r="P18" i="8"/>
  <c r="C28" i="8"/>
  <c r="F20" i="8"/>
  <c r="L17" i="8"/>
  <c r="F18" i="8"/>
  <c r="E21" i="8"/>
  <c r="C25" i="6"/>
  <c r="E18" i="8"/>
  <c r="E16" i="8"/>
  <c r="P19" i="8"/>
  <c r="L20" i="8"/>
  <c r="C37" i="6"/>
  <c r="D12" i="8"/>
  <c r="B20" i="6"/>
  <c r="B37" i="6" s="1"/>
  <c r="C31" i="6"/>
  <c r="E12" i="8"/>
  <c r="E27" i="8" s="1"/>
  <c r="E22" i="8"/>
  <c r="C27" i="6"/>
  <c r="I9" i="6" l="1"/>
  <c r="J16" i="8"/>
  <c r="I16" i="6"/>
  <c r="I7" i="8"/>
  <c r="I20" i="6"/>
  <c r="I25" i="6" s="1"/>
  <c r="J27" i="8"/>
  <c r="J26" i="8" s="1"/>
  <c r="J31" i="8"/>
  <c r="H2" i="9" s="1"/>
  <c r="J17" i="8"/>
  <c r="J9" i="6"/>
  <c r="J20" i="6" s="1"/>
  <c r="Q21" i="8"/>
  <c r="I34" i="6"/>
  <c r="I43" i="6" s="1"/>
  <c r="I33" i="6"/>
  <c r="I42" i="6" s="1"/>
  <c r="R21" i="8"/>
  <c r="F9" i="6"/>
  <c r="M12" i="6"/>
  <c r="M7" i="8" s="1"/>
  <c r="M19" i="8" s="1"/>
  <c r="N13" i="6"/>
  <c r="N8" i="8" s="1"/>
  <c r="M8" i="8"/>
  <c r="M20" i="8" s="1"/>
  <c r="C34" i="6"/>
  <c r="C43" i="6" s="1"/>
  <c r="Q20" i="8"/>
  <c r="C28" i="6"/>
  <c r="H16" i="6"/>
  <c r="G12" i="6"/>
  <c r="G7" i="8" s="1"/>
  <c r="H19" i="8" s="1"/>
  <c r="C26" i="6"/>
  <c r="N14" i="6"/>
  <c r="N9" i="8" s="1"/>
  <c r="M9" i="8"/>
  <c r="L9" i="6"/>
  <c r="L20" i="6" s="1"/>
  <c r="L4" i="8"/>
  <c r="L16" i="8" s="1"/>
  <c r="C32" i="6"/>
  <c r="C35" i="6"/>
  <c r="F16" i="6"/>
  <c r="F20" i="6" s="1"/>
  <c r="F7" i="8"/>
  <c r="N16" i="6"/>
  <c r="F10" i="9"/>
  <c r="E10" i="9"/>
  <c r="D10" i="9"/>
  <c r="H10" i="9"/>
  <c r="G10" i="9"/>
  <c r="P9" i="6"/>
  <c r="P20" i="6" s="1"/>
  <c r="P4" i="8"/>
  <c r="P12" i="8" s="1"/>
  <c r="G16" i="6"/>
  <c r="M16" i="6"/>
  <c r="R16" i="6"/>
  <c r="D37" i="6"/>
  <c r="C40" i="6"/>
  <c r="D26" i="6"/>
  <c r="D35" i="6"/>
  <c r="D28" i="6"/>
  <c r="D34" i="6"/>
  <c r="D43" i="6" s="1"/>
  <c r="B35" i="6"/>
  <c r="Q7" i="6"/>
  <c r="D27" i="6"/>
  <c r="D33" i="6"/>
  <c r="D31" i="6"/>
  <c r="H8" i="6"/>
  <c r="H6" i="8" s="1"/>
  <c r="H7" i="6"/>
  <c r="G7" i="6"/>
  <c r="G5" i="8" s="1"/>
  <c r="G12" i="8" s="1"/>
  <c r="D32" i="6"/>
  <c r="D41" i="6" s="1"/>
  <c r="B28" i="6"/>
  <c r="R9" i="6"/>
  <c r="M7" i="6"/>
  <c r="N7" i="6"/>
  <c r="P22" i="8"/>
  <c r="L21" i="8"/>
  <c r="E13" i="8"/>
  <c r="M22" i="8"/>
  <c r="N22" i="8"/>
  <c r="L23" i="8"/>
  <c r="D27" i="8"/>
  <c r="D13" i="8"/>
  <c r="F23" i="8"/>
  <c r="B25" i="6"/>
  <c r="B32" i="6"/>
  <c r="B27" i="6"/>
  <c r="B34" i="6"/>
  <c r="B26" i="6"/>
  <c r="B31" i="6"/>
  <c r="B33" i="6"/>
  <c r="P23" i="8"/>
  <c r="F22" i="8"/>
  <c r="N19" i="8"/>
  <c r="G16" i="8"/>
  <c r="H20" i="8"/>
  <c r="G20" i="8"/>
  <c r="C42" i="6"/>
  <c r="G18" i="8"/>
  <c r="G21" i="8"/>
  <c r="H21" i="8"/>
  <c r="J30" i="8" l="1"/>
  <c r="I35" i="6"/>
  <c r="I26" i="6"/>
  <c r="I28" i="6"/>
  <c r="I31" i="6"/>
  <c r="I40" i="6" s="1"/>
  <c r="I37" i="6"/>
  <c r="I27" i="6"/>
  <c r="I32" i="6"/>
  <c r="I41" i="6" s="1"/>
  <c r="I19" i="8"/>
  <c r="J19" i="8"/>
  <c r="I12" i="8"/>
  <c r="L12" i="8"/>
  <c r="J26" i="6"/>
  <c r="J37" i="6"/>
  <c r="J27" i="6"/>
  <c r="J31" i="6"/>
  <c r="J40" i="6" s="1"/>
  <c r="J32" i="6"/>
  <c r="J41" i="6" s="1"/>
  <c r="J33" i="6"/>
  <c r="J42" i="6" s="1"/>
  <c r="J34" i="6"/>
  <c r="J43" i="6" s="1"/>
  <c r="J25" i="6"/>
  <c r="J35" i="6"/>
  <c r="J28" i="6"/>
  <c r="B42" i="6"/>
  <c r="N20" i="8"/>
  <c r="C41" i="6"/>
  <c r="F12" i="8"/>
  <c r="G13" i="8" s="1"/>
  <c r="F19" i="8"/>
  <c r="P16" i="8"/>
  <c r="M9" i="6"/>
  <c r="M20" i="6" s="1"/>
  <c r="M5" i="8"/>
  <c r="M17" i="8" s="1"/>
  <c r="G19" i="8"/>
  <c r="N9" i="6"/>
  <c r="N20" i="6" s="1"/>
  <c r="N5" i="8"/>
  <c r="Q9" i="6"/>
  <c r="Q20" i="6" s="1"/>
  <c r="Q34" i="6" s="1"/>
  <c r="Q43" i="6" s="1"/>
  <c r="Q5" i="8"/>
  <c r="H9" i="6"/>
  <c r="H20" i="6" s="1"/>
  <c r="H5" i="8"/>
  <c r="H17" i="8" s="1"/>
  <c r="G17" i="8"/>
  <c r="B40" i="6"/>
  <c r="P31" i="6"/>
  <c r="P40" i="6" s="1"/>
  <c r="P32" i="6"/>
  <c r="P41" i="6" s="1"/>
  <c r="P37" i="6"/>
  <c r="P35" i="6"/>
  <c r="P33" i="6"/>
  <c r="P42" i="6" s="1"/>
  <c r="P34" i="6"/>
  <c r="P43" i="6" s="1"/>
  <c r="F31" i="6"/>
  <c r="F40" i="6" s="1"/>
  <c r="F32" i="6"/>
  <c r="F41" i="6" s="1"/>
  <c r="F35" i="6"/>
  <c r="F33" i="6"/>
  <c r="F42" i="6" s="1"/>
  <c r="F34" i="6"/>
  <c r="F43" i="6" s="1"/>
  <c r="F37" i="6"/>
  <c r="L28" i="6"/>
  <c r="L31" i="6"/>
  <c r="L40" i="6" s="1"/>
  <c r="L32" i="6"/>
  <c r="L41" i="6" s="1"/>
  <c r="L34" i="6"/>
  <c r="L43" i="6" s="1"/>
  <c r="L33" i="6"/>
  <c r="L42" i="6" s="1"/>
  <c r="L37" i="6"/>
  <c r="L35" i="6"/>
  <c r="B43" i="6"/>
  <c r="D40" i="6"/>
  <c r="B41" i="6"/>
  <c r="D42" i="6"/>
  <c r="F26" i="6"/>
  <c r="F25" i="6"/>
  <c r="F27" i="6"/>
  <c r="F28" i="6"/>
  <c r="G9" i="6"/>
  <c r="P27" i="6"/>
  <c r="P26" i="6"/>
  <c r="P25" i="6"/>
  <c r="R20" i="6"/>
  <c r="R28" i="6" s="1"/>
  <c r="Q26" i="6"/>
  <c r="Q25" i="6"/>
  <c r="Q27" i="6"/>
  <c r="P28" i="6"/>
  <c r="L27" i="6"/>
  <c r="L26" i="6"/>
  <c r="L25" i="6"/>
  <c r="Q23" i="8"/>
  <c r="R23" i="8"/>
  <c r="N23" i="8"/>
  <c r="M23" i="8"/>
  <c r="Q16" i="8"/>
  <c r="H23" i="8"/>
  <c r="G23" i="8"/>
  <c r="E31" i="8"/>
  <c r="E28" i="8"/>
  <c r="L13" i="8"/>
  <c r="G22" i="8"/>
  <c r="H22" i="8"/>
  <c r="H16" i="8"/>
  <c r="P13" i="8"/>
  <c r="Q22" i="8"/>
  <c r="R22" i="8"/>
  <c r="H18" i="8"/>
  <c r="Q18" i="8"/>
  <c r="M18" i="8"/>
  <c r="M16" i="8"/>
  <c r="D31" i="8"/>
  <c r="D32" i="8" s="1"/>
  <c r="D28" i="8"/>
  <c r="M21" i="8"/>
  <c r="N21" i="8"/>
  <c r="I31" i="8" l="1"/>
  <c r="I13" i="8"/>
  <c r="I27" i="8"/>
  <c r="I26" i="8" s="1"/>
  <c r="J13" i="8"/>
  <c r="E32" i="8"/>
  <c r="C2" i="9"/>
  <c r="C8" i="9" s="1"/>
  <c r="C12" i="9" s="1"/>
  <c r="Q31" i="6"/>
  <c r="Q40" i="6" s="1"/>
  <c r="N17" i="8"/>
  <c r="Q28" i="6"/>
  <c r="M12" i="8"/>
  <c r="M13" i="8" s="1"/>
  <c r="Q35" i="6"/>
  <c r="Q37" i="6"/>
  <c r="F13" i="8"/>
  <c r="F31" i="8"/>
  <c r="D2" i="9" s="1"/>
  <c r="D4" i="9" s="1"/>
  <c r="D8" i="9" s="1"/>
  <c r="D12" i="9" s="1"/>
  <c r="Q33" i="6"/>
  <c r="Q42" i="6" s="1"/>
  <c r="Q32" i="6"/>
  <c r="Q41" i="6" s="1"/>
  <c r="Q17" i="8"/>
  <c r="R17" i="8"/>
  <c r="Q12" i="8"/>
  <c r="Q13" i="8" s="1"/>
  <c r="M28" i="6"/>
  <c r="M31" i="6"/>
  <c r="M40" i="6" s="1"/>
  <c r="M32" i="6"/>
  <c r="M41" i="6" s="1"/>
  <c r="M33" i="6"/>
  <c r="M42" i="6" s="1"/>
  <c r="M37" i="6"/>
  <c r="M34" i="6"/>
  <c r="M43" i="6" s="1"/>
  <c r="M35" i="6"/>
  <c r="H25" i="6"/>
  <c r="H34" i="6"/>
  <c r="H43" i="6" s="1"/>
  <c r="H31" i="6"/>
  <c r="H40" i="6" s="1"/>
  <c r="H35" i="6"/>
  <c r="H32" i="6"/>
  <c r="H41" i="6" s="1"/>
  <c r="H33" i="6"/>
  <c r="H42" i="6" s="1"/>
  <c r="H37" i="6"/>
  <c r="R31" i="6"/>
  <c r="R40" i="6" s="1"/>
  <c r="R37" i="6"/>
  <c r="R34" i="6"/>
  <c r="R43" i="6" s="1"/>
  <c r="R33" i="6"/>
  <c r="R42" i="6" s="1"/>
  <c r="R32" i="6"/>
  <c r="R41" i="6" s="1"/>
  <c r="N28" i="6"/>
  <c r="N31" i="6"/>
  <c r="N40" i="6" s="1"/>
  <c r="N34" i="6"/>
  <c r="N43" i="6" s="1"/>
  <c r="N35" i="6"/>
  <c r="N33" i="6"/>
  <c r="N42" i="6" s="1"/>
  <c r="N37" i="6"/>
  <c r="N32" i="6"/>
  <c r="N41" i="6" s="1"/>
  <c r="R35" i="6"/>
  <c r="H26" i="6"/>
  <c r="H27" i="6"/>
  <c r="G20" i="6"/>
  <c r="G28" i="6" s="1"/>
  <c r="H28" i="6"/>
  <c r="R26" i="6"/>
  <c r="R25" i="6"/>
  <c r="R27" i="6"/>
  <c r="N26" i="6"/>
  <c r="N25" i="6"/>
  <c r="N27" i="6"/>
  <c r="M26" i="6"/>
  <c r="M25" i="6"/>
  <c r="M27" i="6"/>
  <c r="H12" i="8"/>
  <c r="N12" i="8"/>
  <c r="N16" i="8"/>
  <c r="R16" i="8"/>
  <c r="N18" i="8"/>
  <c r="R18" i="8"/>
  <c r="G2" i="9" l="1"/>
  <c r="I30" i="8"/>
  <c r="H31" i="8"/>
  <c r="H13" i="8"/>
  <c r="G31" i="6"/>
  <c r="G40" i="6" s="1"/>
  <c r="G34" i="6"/>
  <c r="G43" i="6" s="1"/>
  <c r="G32" i="6"/>
  <c r="G41" i="6" s="1"/>
  <c r="G33" i="6"/>
  <c r="G42" i="6" s="1"/>
  <c r="G37" i="6"/>
  <c r="G35" i="6"/>
  <c r="G25" i="6"/>
  <c r="G27" i="6"/>
  <c r="G26" i="6"/>
  <c r="L32" i="8"/>
  <c r="N13" i="8"/>
  <c r="L28" i="8"/>
  <c r="F27" i="8"/>
  <c r="F26" i="8" s="1"/>
  <c r="R12" i="8"/>
  <c r="M28" i="8" l="1"/>
  <c r="G27" i="8"/>
  <c r="G26" i="8" s="1"/>
  <c r="P28" i="8"/>
  <c r="P27" i="8" s="1"/>
  <c r="P26" i="8" s="1"/>
  <c r="L27" i="8"/>
  <c r="L26" i="8" s="1"/>
  <c r="G31" i="8"/>
  <c r="M32" i="8"/>
  <c r="R13" i="8"/>
  <c r="L31" i="8"/>
  <c r="P32" i="8"/>
  <c r="P31" i="8" s="1"/>
  <c r="F30" i="8"/>
  <c r="G30" i="8" l="1"/>
  <c r="E2" i="9"/>
  <c r="F2" i="9"/>
  <c r="N28" i="8"/>
  <c r="H27" i="8"/>
  <c r="Q32" i="8"/>
  <c r="Q31" i="8" s="1"/>
  <c r="M31" i="8"/>
  <c r="N32" i="8"/>
  <c r="P30" i="8"/>
  <c r="L30" i="8"/>
  <c r="Q28" i="8"/>
  <c r="Q27" i="8" s="1"/>
  <c r="Q26" i="8" s="1"/>
  <c r="M27" i="8"/>
  <c r="M26" i="8" s="1"/>
  <c r="M30" i="8" l="1"/>
  <c r="F4" i="9"/>
  <c r="F8" i="9" s="1"/>
  <c r="F12" i="9" s="1"/>
  <c r="Q30" i="8"/>
  <c r="H26" i="8"/>
  <c r="H30" i="8"/>
  <c r="E4" i="9"/>
  <c r="R32" i="8"/>
  <c r="R31" i="8" s="1"/>
  <c r="N31" i="8"/>
  <c r="R28" i="8"/>
  <c r="R27" i="8" s="1"/>
  <c r="R26" i="8" s="1"/>
  <c r="N27" i="8"/>
  <c r="N26" i="8" s="1"/>
  <c r="G4" i="9" l="1"/>
  <c r="G8" i="9" s="1"/>
  <c r="G12" i="9" s="1"/>
  <c r="E8" i="9"/>
  <c r="E12" i="9" s="1"/>
  <c r="N30" i="8"/>
  <c r="R30" i="8"/>
  <c r="H4" i="9" l="1"/>
  <c r="H8" i="9" s="1"/>
  <c r="H9" i="9" l="1"/>
  <c r="H13" i="9" s="1"/>
  <c r="H12" i="9"/>
  <c r="C19" i="9" l="1"/>
  <c r="C22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tc={45387694-BB99-7644-9EFB-1DBFBFA302FA}</author>
  </authors>
  <commentList>
    <comment ref="D51" authorId="0" shapeId="0" xr:uid="{45387694-BB99-7644-9EFB-1DBFBFA302FA}">
      <text>
        <t>[Threaded comment]
Your version of Excel allows you to read this threaded comment; however, any edits to it will get removed if the file is opened in a newer version of Excel. Learn more: https://go.microsoft.com/fwlink/?linkid=870924
Comment:
    I think the take rate here jump is a bit misleading. Given the Deribit acquisition, I assume some revenue from institutions stem from Derivatives</t>
      </text>
    </comment>
  </commentList>
</comments>
</file>

<file path=xl/sharedStrings.xml><?xml version="1.0" encoding="utf-8"?>
<sst xmlns="http://schemas.openxmlformats.org/spreadsheetml/2006/main" count="235" uniqueCount="171">
  <si>
    <t>Total Revenue</t>
  </si>
  <si>
    <t>Consolidated Statements of Operations (in $ thousands)</t>
  </si>
  <si>
    <t>Line Item</t>
  </si>
  <si>
    <t>2023A</t>
  </si>
  <si>
    <t>2024A</t>
  </si>
  <si>
    <t>2025A</t>
  </si>
  <si>
    <t>Transaction revenue:</t>
  </si>
  <si>
    <t xml:space="preserve">  Transaction revenue - consumer, net</t>
  </si>
  <si>
    <t xml:space="preserve">  Transaction revenue - institutional, net</t>
  </si>
  <si>
    <t xml:space="preserve">  Transaction revenue - other, net</t>
  </si>
  <si>
    <t>Total transaction revenue</t>
  </si>
  <si>
    <t>Subscription and services revenue:</t>
  </si>
  <si>
    <t xml:space="preserve">  Stablecoin revenue</t>
  </si>
  <si>
    <t xml:space="preserve">  Blockchain rewards revenue</t>
  </si>
  <si>
    <t xml:space="preserve">  Interest and finance revenue</t>
  </si>
  <si>
    <t xml:space="preserve">  Custodial and other</t>
  </si>
  <si>
    <t>Total subscription and services revenue</t>
  </si>
  <si>
    <t>Total other revenue</t>
  </si>
  <si>
    <t>Total net revenue</t>
  </si>
  <si>
    <t>Operating Expenses</t>
  </si>
  <si>
    <t>Transaction expenses</t>
  </si>
  <si>
    <t>Technology and development</t>
  </si>
  <si>
    <t>Sales and marketing</t>
  </si>
  <si>
    <t>General and administrative</t>
  </si>
  <si>
    <t>Losses (gains) on crypto assets held for operations, net</t>
  </si>
  <si>
    <t>Other operating expense, net</t>
  </si>
  <si>
    <t>Crypto asset impairment, net</t>
  </si>
  <si>
    <t>Restructuring</t>
  </si>
  <si>
    <t>Total operating expenses</t>
  </si>
  <si>
    <t>Income from operations</t>
  </si>
  <si>
    <t>Interest expense</t>
  </si>
  <si>
    <t>Gains on crypto assets held for investment, net</t>
  </si>
  <si>
    <t>Other income (expense), net</t>
  </si>
  <si>
    <t>Income before taxes</t>
  </si>
  <si>
    <t>Provision for income taxes</t>
  </si>
  <si>
    <t>Net income</t>
  </si>
  <si>
    <t>Consolidated Balance Sheets (in $ thousands)</t>
  </si>
  <si>
    <t>Dec 31, 2024</t>
  </si>
  <si>
    <t>Dec 31, 2025</t>
  </si>
  <si>
    <t>ASSETS</t>
  </si>
  <si>
    <t>Current assets:</t>
  </si>
  <si>
    <t>Cash and cash equivalents</t>
  </si>
  <si>
    <t>Restricted cash and cash equivalents</t>
  </si>
  <si>
    <t>Customer custodial funds</t>
  </si>
  <si>
    <t>Crypto assets held for operations</t>
  </si>
  <si>
    <t>Loan receivables</t>
  </si>
  <si>
    <t>Crypto assets held as collateral</t>
  </si>
  <si>
    <t>Crypto assets borrowed</t>
  </si>
  <si>
    <t>Accounts receivable, net</t>
  </si>
  <si>
    <t>Marketable investments</t>
  </si>
  <si>
    <t>Other current assets</t>
  </si>
  <si>
    <t>Total current assets</t>
  </si>
  <si>
    <t>Non-current assets:</t>
  </si>
  <si>
    <t>Crypto assets held for investment</t>
  </si>
  <si>
    <t>Strategic investments</t>
  </si>
  <si>
    <t>Deferred tax assets</t>
  </si>
  <si>
    <t>Software and equipment, net</t>
  </si>
  <si>
    <t>Goodwill</t>
  </si>
  <si>
    <t>Intangible assets, net</t>
  </si>
  <si>
    <t>Other non-current assets</t>
  </si>
  <si>
    <t>Total non-current assets</t>
  </si>
  <si>
    <t>TOTAL ASSETS</t>
  </si>
  <si>
    <t>LIABILITIES &amp; EQUITY</t>
  </si>
  <si>
    <t>Current liabilities:</t>
  </si>
  <si>
    <t>Customer custodial fund liabilities</t>
  </si>
  <si>
    <t>Accounts payable</t>
  </si>
  <si>
    <t>Current portion of long-term debt</t>
  </si>
  <si>
    <t>Short-term borrowings</t>
  </si>
  <si>
    <t>Obligation to return collateral</t>
  </si>
  <si>
    <t>Accrued expenses and other current liabilities</t>
  </si>
  <si>
    <t>Total current liabilities</t>
  </si>
  <si>
    <t>Non-current liabilities</t>
  </si>
  <si>
    <t>Long-term debt</t>
  </si>
  <si>
    <t>Other non-current liabilities</t>
  </si>
  <si>
    <t>Total non-current liabilities</t>
  </si>
  <si>
    <t>TOTAL LIABILITIES</t>
  </si>
  <si>
    <t>Stockholders' Equity:</t>
  </si>
  <si>
    <t>Additional paid-in capital</t>
  </si>
  <si>
    <t>Accumulated other comprehensive income (loss)</t>
  </si>
  <si>
    <t>Retained earnings</t>
  </si>
  <si>
    <t>Total shareholders' equity</t>
  </si>
  <si>
    <t>TOTAL LIABILITIES &amp; EQUITY</t>
  </si>
  <si>
    <t>Consolidated Statements of Cash Flows (in $ thousands)</t>
  </si>
  <si>
    <t>OPERATING ACTIVITIES</t>
  </si>
  <si>
    <t xml:space="preserve">  Net income</t>
  </si>
  <si>
    <t xml:space="preserve">  Depreciation and amortization</t>
  </si>
  <si>
    <t xml:space="preserve">  Stock-based compensation</t>
  </si>
  <si>
    <t xml:space="preserve">  Deferred taxes</t>
  </si>
  <si>
    <t xml:space="preserve">  (Gains) losses on investment</t>
  </si>
  <si>
    <t xml:space="preserve">  (Gains) losses on crypto</t>
  </si>
  <si>
    <t xml:space="preserve">  Other</t>
  </si>
  <si>
    <t xml:space="preserve">  Changes in working capital</t>
  </si>
  <si>
    <t>Net Cash from Operating Activities</t>
  </si>
  <si>
    <t xml:space="preserve">  Txn revenue - consumer</t>
  </si>
  <si>
    <t xml:space="preserve">  Txn revenue - institutional</t>
  </si>
  <si>
    <t xml:space="preserve">  Txn revenue - other</t>
  </si>
  <si>
    <t>Revenue Mix</t>
  </si>
  <si>
    <t>Trading Volume in $ thousands (as per 10-K) - this is Spot volume, as that is the main driver of the txn revenue</t>
  </si>
  <si>
    <t>Consumer</t>
  </si>
  <si>
    <t>Take rate (%)</t>
  </si>
  <si>
    <t>Institutional</t>
  </si>
  <si>
    <t>Base</t>
  </si>
  <si>
    <t>Bear</t>
  </si>
  <si>
    <t>Bull</t>
  </si>
  <si>
    <t>Historicals</t>
  </si>
  <si>
    <t>Forecast</t>
  </si>
  <si>
    <t>$ in millions</t>
  </si>
  <si>
    <t>% Growth</t>
  </si>
  <si>
    <t>Segment Growth %</t>
  </si>
  <si>
    <t xml:space="preserve"> Total other revenue</t>
  </si>
  <si>
    <t>(-) COGS</t>
  </si>
  <si>
    <t>Gross Profit</t>
  </si>
  <si>
    <t>Gross Margin %</t>
  </si>
  <si>
    <t>(-) Opex</t>
  </si>
  <si>
    <t>EBITDA</t>
  </si>
  <si>
    <t>EBITDA Margin</t>
  </si>
  <si>
    <t>Ticker</t>
  </si>
  <si>
    <t>COIN</t>
  </si>
  <si>
    <t>CME</t>
  </si>
  <si>
    <t>V</t>
  </si>
  <si>
    <t>NDAQ</t>
  </si>
  <si>
    <t>PYPL</t>
  </si>
  <si>
    <t>HOOD</t>
  </si>
  <si>
    <t>IBKR</t>
  </si>
  <si>
    <t>CRCL</t>
  </si>
  <si>
    <t>EBIT</t>
  </si>
  <si>
    <t>Actual</t>
  </si>
  <si>
    <t>USDC - Assets on platform</t>
  </si>
  <si>
    <t>take rate</t>
  </si>
  <si>
    <t>-CAPEX</t>
  </si>
  <si>
    <t>FCF</t>
  </si>
  <si>
    <t>-Change in working capital</t>
  </si>
  <si>
    <t>Taxes marginal rate</t>
  </si>
  <si>
    <t>-Tax</t>
  </si>
  <si>
    <t>Beta</t>
  </si>
  <si>
    <t>Risk Free</t>
  </si>
  <si>
    <t>ERP</t>
  </si>
  <si>
    <t>Cost of capital</t>
  </si>
  <si>
    <t>Cost of equity</t>
  </si>
  <si>
    <t>https://pages.stern.nyu.edu/~adamodar/New_Home_Page/datafile/totalbeta.html</t>
  </si>
  <si>
    <t>https://pages.stern.nyu.edu/~adamodar/New_Home_Page/datafile/ctryprem.html</t>
  </si>
  <si>
    <t xml:space="preserve">10 Year US </t>
  </si>
  <si>
    <t>Cost of debt</t>
  </si>
  <si>
    <t>Market Cap</t>
  </si>
  <si>
    <t>Debt</t>
  </si>
  <si>
    <t>growth</t>
  </si>
  <si>
    <t>Discount</t>
  </si>
  <si>
    <t>EV</t>
  </si>
  <si>
    <t>Cash</t>
  </si>
  <si>
    <t>Equity Value</t>
  </si>
  <si>
    <t>+D&amp;A</t>
  </si>
  <si>
    <t>TV</t>
  </si>
  <si>
    <t>Discounted FCF</t>
  </si>
  <si>
    <t>Discount rate</t>
  </si>
  <si>
    <t>Discounted TV</t>
  </si>
  <si>
    <t>NaN</t>
  </si>
  <si>
    <t>Average</t>
  </si>
  <si>
    <t>MA</t>
  </si>
  <si>
    <t>EV/REV</t>
  </si>
  <si>
    <t>EV/EBITDA</t>
  </si>
  <si>
    <t>EV/GM</t>
  </si>
  <si>
    <t>Trailing PE</t>
  </si>
  <si>
    <t>Earnings Growth</t>
  </si>
  <si>
    <t>Rev Growth</t>
  </si>
  <si>
    <t>used Beta computed via Python script + website</t>
  </si>
  <si>
    <t>Multiple</t>
  </si>
  <si>
    <t>Revenue</t>
  </si>
  <si>
    <t>Average (exchanges)</t>
  </si>
  <si>
    <t>Average (brokers)</t>
  </si>
  <si>
    <t>Final eV</t>
  </si>
  <si>
    <t>Discount is due to the nature of cyclical business - feels correct to reduce it since all other companies have stable revenues and moats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</si>
</sst>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00%"/>
    <numFmt numFmtId="168" formatCode="_(* #,##0.000_);_(* \(#,##0.000\);_(* &quot;-&quot;???_);_(@_)"/>
    <numFmt numFmtId="183" formatCode="0.0000"/>
  </numFmts>
  <fonts count="2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i/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4"/>
      <color rgb="FFE3E3E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5" fillId="0" borderId="0"/>
    <xf numFmtId="9" fontId="5" fillId="0" borderId="0"/>
  </cellStyleXfs>
  <cellXfs count="1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3" fontId="0" fillId="0" borderId="0" xfId="0" applyNumberFormat="1"/>
    <xf numFmtId="0" fontId="4" fillId="0" borderId="0" xfId="0" applyFont="1"/>
    <xf numFmtId="3" fontId="4" fillId="0" borderId="0" xfId="0" applyNumberFormat="1" applyFont="1"/>
    <xf numFmtId="0" fontId="4" fillId="3" borderId="0" xfId="0" applyFont="1" applyFill="1"/>
    <xf numFmtId="0" fontId="3" fillId="2" borderId="0" xfId="0" applyFont="1" applyFill="1"/>
    <xf numFmtId="164" fontId="0" fillId="0" borderId="0" xfId="1" applyNumberFormat="1" applyFont="1"/>
    <xf numFmtId="164" fontId="4" fillId="0" borderId="0" xfId="1" applyNumberFormat="1" applyFont="1"/>
    <xf numFmtId="164" fontId="4" fillId="3" borderId="0" xfId="1" applyNumberFormat="1" applyFont="1" applyFill="1"/>
    <xf numFmtId="0" fontId="6" fillId="0" borderId="0" xfId="0" applyFont="1"/>
    <xf numFmtId="164" fontId="7" fillId="0" borderId="0" xfId="1" applyNumberFormat="1" applyFont="1"/>
    <xf numFmtId="164" fontId="8" fillId="0" borderId="0" xfId="1" applyNumberFormat="1" applyFont="1"/>
    <xf numFmtId="164" fontId="0" fillId="0" borderId="0" xfId="0" applyNumberFormat="1"/>
    <xf numFmtId="164" fontId="9" fillId="0" borderId="0" xfId="1" applyNumberFormat="1" applyFont="1"/>
    <xf numFmtId="0" fontId="10" fillId="0" borderId="0" xfId="0" applyFont="1"/>
    <xf numFmtId="164" fontId="10" fillId="0" borderId="0" xfId="1" applyNumberFormat="1" applyFont="1"/>
    <xf numFmtId="0" fontId="8" fillId="0" borderId="0" xfId="0" applyFont="1"/>
    <xf numFmtId="165" fontId="0" fillId="0" borderId="0" xfId="2" applyNumberFormat="1" applyFont="1"/>
    <xf numFmtId="10" fontId="0" fillId="0" borderId="0" xfId="2" applyNumberFormat="1" applyFont="1"/>
    <xf numFmtId="9" fontId="0" fillId="0" borderId="0" xfId="2" applyFont="1"/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3" fillId="0" borderId="0" xfId="0" applyFont="1" applyAlignment="1">
      <alignment horizontal="left" vertical="top" indent="1"/>
    </xf>
    <xf numFmtId="0" fontId="14" fillId="0" borderId="0" xfId="0" applyFont="1" applyAlignment="1">
      <alignment horizontal="left" vertical="top" indent="2"/>
    </xf>
    <xf numFmtId="164" fontId="3" fillId="2" borderId="0" xfId="1" applyNumberFormat="1" applyFont="1" applyFill="1"/>
    <xf numFmtId="164" fontId="6" fillId="0" borderId="0" xfId="1" applyNumberFormat="1" applyFont="1"/>
    <xf numFmtId="0" fontId="0" fillId="0" borderId="0" xfId="0" applyAlignment="1">
      <alignment horizontal="left" indent="1"/>
    </xf>
    <xf numFmtId="10" fontId="0" fillId="0" borderId="0" xfId="0" applyNumberFormat="1"/>
    <xf numFmtId="165" fontId="15" fillId="0" borderId="0" xfId="0" applyNumberFormat="1" applyFont="1"/>
    <xf numFmtId="0" fontId="0" fillId="0" borderId="1" xfId="0" applyBorder="1"/>
    <xf numFmtId="0" fontId="6" fillId="6" borderId="2" xfId="0" applyFont="1" applyFill="1" applyBorder="1"/>
    <xf numFmtId="164" fontId="6" fillId="6" borderId="2" xfId="0" applyNumberFormat="1" applyFont="1" applyFill="1" applyBorder="1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17" fillId="0" borderId="0" xfId="0" applyFont="1"/>
    <xf numFmtId="0" fontId="17" fillId="0" borderId="3" xfId="0" applyFont="1" applyBorder="1"/>
    <xf numFmtId="9" fontId="17" fillId="0" borderId="4" xfId="2" applyFont="1" applyBorder="1"/>
    <xf numFmtId="0" fontId="17" fillId="0" borderId="6" xfId="0" applyFont="1" applyBorder="1"/>
    <xf numFmtId="9" fontId="17" fillId="0" borderId="0" xfId="2" applyFont="1"/>
    <xf numFmtId="0" fontId="17" fillId="0" borderId="8" xfId="0" applyFont="1" applyBorder="1"/>
    <xf numFmtId="9" fontId="17" fillId="0" borderId="9" xfId="2" applyFont="1" applyBorder="1"/>
    <xf numFmtId="9" fontId="0" fillId="0" borderId="4" xfId="0" applyNumberFormat="1" applyBorder="1"/>
    <xf numFmtId="0" fontId="17" fillId="7" borderId="4" xfId="0" applyFont="1" applyFill="1" applyBorder="1"/>
    <xf numFmtId="0" fontId="17" fillId="7" borderId="0" xfId="0" applyFont="1" applyFill="1"/>
    <xf numFmtId="0" fontId="17" fillId="7" borderId="9" xfId="0" applyFont="1" applyFill="1" applyBorder="1"/>
    <xf numFmtId="0" fontId="6" fillId="8" borderId="2" xfId="0" applyFont="1" applyFill="1" applyBorder="1"/>
    <xf numFmtId="164" fontId="6" fillId="8" borderId="2" xfId="0" applyNumberFormat="1" applyFont="1" applyFill="1" applyBorder="1"/>
    <xf numFmtId="9" fontId="6" fillId="0" borderId="0" xfId="2" applyFont="1"/>
    <xf numFmtId="9" fontId="0" fillId="0" borderId="4" xfId="2" applyFont="1" applyBorder="1"/>
    <xf numFmtId="9" fontId="0" fillId="0" borderId="5" xfId="2" applyFont="1" applyBorder="1"/>
    <xf numFmtId="9" fontId="0" fillId="0" borderId="7" xfId="2" applyFont="1" applyBorder="1"/>
    <xf numFmtId="0" fontId="4" fillId="0" borderId="8" xfId="0" applyFont="1" applyBorder="1"/>
    <xf numFmtId="9" fontId="6" fillId="0" borderId="9" xfId="2" applyFont="1" applyBorder="1"/>
    <xf numFmtId="9" fontId="6" fillId="0" borderId="10" xfId="2" applyFont="1" applyBorder="1"/>
    <xf numFmtId="9" fontId="0" fillId="0" borderId="5" xfId="0" applyNumberFormat="1" applyBorder="1"/>
    <xf numFmtId="9" fontId="0" fillId="0" borderId="0" xfId="0" applyNumberFormat="1"/>
    <xf numFmtId="9" fontId="0" fillId="0" borderId="7" xfId="0" applyNumberFormat="1" applyBorder="1"/>
    <xf numFmtId="9" fontId="0" fillId="0" borderId="9" xfId="0" applyNumberFormat="1" applyBorder="1"/>
    <xf numFmtId="9" fontId="0" fillId="0" borderId="10" xfId="0" applyNumberFormat="1" applyBorder="1"/>
    <xf numFmtId="0" fontId="0" fillId="0" borderId="0" xfId="0" quotePrefix="1"/>
    <xf numFmtId="9" fontId="0" fillId="0" borderId="3" xfId="2" applyFont="1" applyBorder="1"/>
    <xf numFmtId="9" fontId="0" fillId="0" borderId="6" xfId="2" applyFont="1" applyBorder="1"/>
    <xf numFmtId="9" fontId="6" fillId="0" borderId="8" xfId="2" applyFont="1" applyBorder="1"/>
    <xf numFmtId="164" fontId="5" fillId="0" borderId="0" xfId="1" applyNumberFormat="1"/>
    <xf numFmtId="10" fontId="0" fillId="0" borderId="7" xfId="2" applyNumberFormat="1" applyFont="1" applyBorder="1"/>
    <xf numFmtId="10" fontId="0" fillId="0" borderId="6" xfId="2" applyNumberFormat="1" applyFont="1" applyBorder="1"/>
    <xf numFmtId="10" fontId="5" fillId="0" borderId="9" xfId="2" applyNumberFormat="1" applyBorder="1"/>
    <xf numFmtId="10" fontId="5" fillId="0" borderId="10" xfId="2" applyNumberFormat="1" applyBorder="1"/>
    <xf numFmtId="10" fontId="5" fillId="0" borderId="8" xfId="2" applyNumberFormat="1" applyBorder="1"/>
    <xf numFmtId="164" fontId="5" fillId="0" borderId="4" xfId="1" applyNumberFormat="1" applyBorder="1"/>
    <xf numFmtId="164" fontId="5" fillId="0" borderId="5" xfId="1" applyNumberFormat="1" applyBorder="1"/>
    <xf numFmtId="164" fontId="5" fillId="0" borderId="7" xfId="1" applyNumberFormat="1" applyBorder="1"/>
    <xf numFmtId="164" fontId="5" fillId="0" borderId="3" xfId="1" applyNumberFormat="1" applyBorder="1"/>
    <xf numFmtId="164" fontId="5" fillId="0" borderId="6" xfId="1" applyNumberFormat="1" applyBorder="1"/>
    <xf numFmtId="164" fontId="6" fillId="0" borderId="0" xfId="0" applyNumberFormat="1" applyFont="1"/>
    <xf numFmtId="0" fontId="18" fillId="0" borderId="8" xfId="0" applyFont="1" applyBorder="1" applyAlignment="1">
      <alignment horizontal="left" indent="2"/>
    </xf>
    <xf numFmtId="0" fontId="17" fillId="0" borderId="6" xfId="0" applyFont="1" applyBorder="1" applyAlignment="1">
      <alignment horizontal="left" indent="2"/>
    </xf>
    <xf numFmtId="3" fontId="0" fillId="0" borderId="4" xfId="0" applyNumberFormat="1" applyBorder="1"/>
    <xf numFmtId="3" fontId="0" fillId="0" borderId="5" xfId="0" applyNumberFormat="1" applyBorder="1"/>
    <xf numFmtId="166" fontId="5" fillId="0" borderId="9" xfId="2" applyNumberFormat="1" applyBorder="1"/>
    <xf numFmtId="166" fontId="5" fillId="0" borderId="10" xfId="2" applyNumberFormat="1" applyBorder="1"/>
    <xf numFmtId="166" fontId="0" fillId="0" borderId="8" xfId="0" applyNumberFormat="1" applyBorder="1"/>
    <xf numFmtId="168" fontId="0" fillId="0" borderId="0" xfId="0" applyNumberFormat="1"/>
    <xf numFmtId="166" fontId="0" fillId="0" borderId="9" xfId="0" applyNumberFormat="1" applyBorder="1"/>
    <xf numFmtId="166" fontId="0" fillId="0" borderId="10" xfId="0" applyNumberFormat="1" applyBorder="1"/>
    <xf numFmtId="0" fontId="0" fillId="0" borderId="4" xfId="0" applyBorder="1"/>
    <xf numFmtId="0" fontId="3" fillId="2" borderId="0" xfId="0" applyFont="1" applyFill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164" fontId="5" fillId="0" borderId="0" xfId="1" quotePrefix="1" applyNumberFormat="1"/>
    <xf numFmtId="0" fontId="0" fillId="0" borderId="9" xfId="0" applyBorder="1"/>
    <xf numFmtId="164" fontId="5" fillId="0" borderId="9" xfId="1" applyNumberFormat="1" applyBorder="1"/>
    <xf numFmtId="0" fontId="6" fillId="0" borderId="0" xfId="0" applyFont="1" applyBorder="1"/>
    <xf numFmtId="0" fontId="19" fillId="10" borderId="0" xfId="0" applyFont="1" applyFill="1" applyAlignment="1">
      <alignment horizontal="center"/>
    </xf>
    <xf numFmtId="0" fontId="19" fillId="9" borderId="0" xfId="0" applyFont="1" applyFill="1" applyAlignment="1">
      <alignment horizontal="center"/>
    </xf>
    <xf numFmtId="10" fontId="6" fillId="0" borderId="0" xfId="2" applyNumberFormat="1" applyFont="1"/>
    <xf numFmtId="0" fontId="0" fillId="0" borderId="0" xfId="0" applyFont="1"/>
    <xf numFmtId="10" fontId="0" fillId="0" borderId="0" xfId="0" applyNumberFormat="1" applyFont="1"/>
    <xf numFmtId="2" fontId="0" fillId="0" borderId="0" xfId="0" applyNumberFormat="1"/>
    <xf numFmtId="43" fontId="6" fillId="0" borderId="0" xfId="0" applyNumberFormat="1" applyFont="1"/>
    <xf numFmtId="0" fontId="16" fillId="5" borderId="13" xfId="0" applyFont="1" applyFill="1" applyBorder="1" applyAlignment="1">
      <alignment horizontal="center"/>
    </xf>
    <xf numFmtId="0" fontId="16" fillId="5" borderId="11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5" fillId="0" borderId="0" xfId="1" applyAlignment="1">
      <alignment horizontal="center"/>
    </xf>
    <xf numFmtId="183" fontId="0" fillId="0" borderId="0" xfId="0" applyNumberFormat="1" applyAlignment="1">
      <alignment horizontal="center"/>
    </xf>
    <xf numFmtId="10" fontId="5" fillId="0" borderId="0" xfId="2" applyNumberFormat="1" applyAlignment="1">
      <alignment horizontal="center"/>
    </xf>
    <xf numFmtId="43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5" fillId="0" borderId="0" xfId="2" applyNumberFormat="1" applyAlignment="1">
      <alignment horizontal="center"/>
    </xf>
    <xf numFmtId="0" fontId="0" fillId="11" borderId="0" xfId="0" applyFill="1" applyAlignment="1">
      <alignment horizontal="center"/>
    </xf>
    <xf numFmtId="165" fontId="5" fillId="11" borderId="0" xfId="2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3" fontId="21" fillId="0" borderId="0" xfId="0" applyNumberFormat="1" applyFont="1"/>
    <xf numFmtId="2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2" fontId="17" fillId="0" borderId="0" xfId="0" applyNumberFormat="1" applyFont="1"/>
    <xf numFmtId="164" fontId="6" fillId="0" borderId="4" xfId="1" applyNumberFormat="1" applyFont="1" applyBorder="1"/>
    <xf numFmtId="9" fontId="17" fillId="0" borderId="0" xfId="0" applyNumberFormat="1" applyFo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Actual </a:t>
            </a:r>
          </a:p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Mix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Metrics!$A$28</c:f>
              <c:strCache>
                <c:ptCount val="1"/>
                <c:pt idx="0">
                  <c:v>Total transaction revenue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Metrics!$B$4:$D$4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Metrics!$B$28:$D$28</c:f>
              <c:numCache>
                <c:formatCode>0%</c:formatCode>
                <c:ptCount val="3"/>
                <c:pt idx="0">
                  <c:v>0.48890318430363461</c:v>
                </c:pt>
                <c:pt idx="1">
                  <c:v>0.60725167580743444</c:v>
                </c:pt>
                <c:pt idx="2">
                  <c:v>0.56440607157777467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B-AB44-8C18-82776D57FCB2}"/>
            </c:ext>
          </c:extLst>
        </c:ser>
        <c:ser>
          <c:idx val="1"/>
          <c:order val="1"/>
          <c:tx>
            <c:strRef>
              <c:f>Metrics!$A$35</c:f>
              <c:strCache>
                <c:ptCount val="1"/>
                <c:pt idx="0">
                  <c:v>Total subscription and services revenue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Metrics!$B$4:$D$4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Metrics!$B$35:$D$35</c:f>
              <c:numCache>
                <c:formatCode>0%</c:formatCode>
                <c:ptCount val="3"/>
                <c:pt idx="0">
                  <c:v>0.45287873914441945</c:v>
                </c:pt>
                <c:pt idx="1">
                  <c:v>0.35146252285191953</c:v>
                </c:pt>
                <c:pt idx="2">
                  <c:v>0.39409552987049157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5B-AB44-8C18-82776D57FCB2}"/>
            </c:ext>
          </c:extLst>
        </c:ser>
        <c:ser>
          <c:idx val="2"/>
          <c:order val="2"/>
          <c:tx>
            <c:strRef>
              <c:f>Metrics!$A$37</c:f>
              <c:strCache>
                <c:ptCount val="1"/>
                <c:pt idx="0">
                  <c:v>Total other revenue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Metrics!$B$4:$D$4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Metrics!$B$37:$D$37</c:f>
              <c:numCache>
                <c:formatCode>0%</c:formatCode>
                <c:ptCount val="3"/>
                <c:pt idx="0">
                  <c:v>5.8218076551945962E-2</c:v>
                </c:pt>
                <c:pt idx="1">
                  <c:v>4.1285801340645946E-2</c:v>
                </c:pt>
                <c:pt idx="2">
                  <c:v>4.1498398551733741E-2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5B-AB44-8C18-82776D57FC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31543984"/>
        <c:axId val="1558304064"/>
      </c:barChart>
      <c:catAx>
        <c:axId val="143154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04064"/>
        <c:crosses val="autoZero"/>
        <c:auto val="1"/>
        <c:lblAlgn val="ctr"/>
        <c:lblOffset val="100"/>
        <c:noMultiLvlLbl val="0"/>
      </c:catAx>
      <c:valAx>
        <c:axId val="155830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543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Actual </a:t>
            </a:r>
          </a:p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Subs and Services Mix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Metrics!$A$40</c:f>
              <c:strCache>
                <c:ptCount val="1"/>
                <c:pt idx="0">
                  <c:v>  Stablecoin revenue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Metrics!$B$4:$D$4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Metrics!$B$40:$D$40</c:f>
              <c:numCache>
                <c:formatCode>0%</c:formatCode>
                <c:ptCount val="3"/>
                <c:pt idx="0">
                  <c:v>0.49289772727272724</c:v>
                </c:pt>
                <c:pt idx="1">
                  <c:v>0.39445166883398353</c:v>
                </c:pt>
                <c:pt idx="2">
                  <c:v>0.49469964664310956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8-7F44-BB9B-E43DFEE90FDD}"/>
            </c:ext>
          </c:extLst>
        </c:ser>
        <c:ser>
          <c:idx val="1"/>
          <c:order val="1"/>
          <c:tx>
            <c:strRef>
              <c:f>Metrics!$A$41</c:f>
              <c:strCache>
                <c:ptCount val="1"/>
                <c:pt idx="0">
                  <c:v>  Blockchain rewards revenue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Metrics!$B$4:$D$4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Metrics!$B$41:$D$41</c:f>
              <c:numCache>
                <c:formatCode>0%</c:formatCode>
                <c:ptCount val="3"/>
                <c:pt idx="0">
                  <c:v>0.23508522727272724</c:v>
                </c:pt>
                <c:pt idx="1">
                  <c:v>0.30602514087559607</c:v>
                </c:pt>
                <c:pt idx="2">
                  <c:v>0.25547703180212011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B8-7F44-BB9B-E43DFEE90FDD}"/>
            </c:ext>
          </c:extLst>
        </c:ser>
        <c:ser>
          <c:idx val="2"/>
          <c:order val="2"/>
          <c:tx>
            <c:strRef>
              <c:f>Metrics!$A$42</c:f>
              <c:strCache>
                <c:ptCount val="1"/>
                <c:pt idx="0">
                  <c:v>  Interest and finance revenue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Metrics!$B$4:$D$4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Metrics!$B$42:$D$42</c:f>
              <c:numCache>
                <c:formatCode>0%</c:formatCode>
                <c:ptCount val="3"/>
                <c:pt idx="0">
                  <c:v>0.1328125</c:v>
                </c:pt>
                <c:pt idx="1">
                  <c:v>0.1153012570437798</c:v>
                </c:pt>
                <c:pt idx="2">
                  <c:v>0.13427561837455831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B8-7F44-BB9B-E43DFEE90FDD}"/>
            </c:ext>
          </c:extLst>
        </c:ser>
        <c:ser>
          <c:idx val="3"/>
          <c:order val="3"/>
          <c:tx>
            <c:strRef>
              <c:f>Metrics!$A$43</c:f>
              <c:strCache>
                <c:ptCount val="1"/>
                <c:pt idx="0">
                  <c:v>  Custodial and other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Metrics!$B$4:$D$4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Metrics!$B$43:$D$43</c:f>
              <c:numCache>
                <c:formatCode>0%</c:formatCode>
                <c:ptCount val="3"/>
                <c:pt idx="0">
                  <c:v>0.13920454545454544</c:v>
                </c:pt>
                <c:pt idx="1">
                  <c:v>0.18422193324664068</c:v>
                </c:pt>
                <c:pt idx="2">
                  <c:v>0.11554770318021201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B8-7F44-BB9B-E43DFEE90F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31543984"/>
        <c:axId val="1558304064"/>
      </c:barChart>
      <c:catAx>
        <c:axId val="143154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04064"/>
        <c:crosses val="autoZero"/>
        <c:auto val="1"/>
        <c:lblAlgn val="ctr"/>
        <c:lblOffset val="100"/>
        <c:noMultiLvlLbl val="0"/>
      </c:catAx>
      <c:valAx>
        <c:axId val="155830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543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520700</xdr:colOff>
      <xdr:row>0</xdr:row>
      <xdr:rowOff>127000</xdr:rowOff>
    </xdr:from>
    <xdr:to>
      <xdr:col>14</xdr:col>
      <xdr:colOff>444500</xdr:colOff>
      <xdr:row>42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1F42C8-C4B6-8AD1-85B3-DDE232966813}"/>
            </a:ext>
          </a:extLst>
        </xdr:cNvPr>
        <xdr:cNvSpPr txBox="1"/>
      </xdr:nvSpPr>
      <xdr:spPr>
        <a:xfrm>
          <a:off x="520700" y="127000"/>
          <a:ext cx="11480800" cy="803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Overview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Coinbase is positioning itself as more than a crypto brokerage but as a regulated digital‑asset financial infrastructure platform. The market still treats the company as proxy for crypto trading activity. The company is expanding across custody, stablecoin monetisation, derivatives, subscription products and on-chain infrastructure and payment through Base. 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Coinbase currently sits between a transaction driven exchange (which tend to trade at lower multiples due to cyclicality and fee pressure) and an infrastructure platform with recurring revenues and higher margins. 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Investment Thesis</a:t>
          </a:r>
        </a:p>
        <a:p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core thesis is that Coinbase is still valued largely as a cyclical crypto brokerage, with revenues tied to trading volumes and market sentiment. However, its regulatory positioning and expanding product suite are pushing the business toward a broader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digital asset infrastructure platform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Initiatives such as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and the “everything platform” strategy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introduce optionality that may not be fully captured in a traditional DCF.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Valuation</a:t>
          </a:r>
        </a:p>
        <a:p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Case Assumptions: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Revenue (2025): ~ $7B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Revenue (2030): ~ $10B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EBIT Margin (2030): ~ 28%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WACC: ~ 9.3%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Terminal Growth: ~ 3%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produces an estimated equity value of approximately $33B versus a current market capitalization of roughly $51B. </a:t>
          </a:r>
          <a:r>
            <a:rPr lang="en-GB"/>
            <a:t>The difference between the DCF value and current market price likely reflects market expectations for higher long-term margins and platform-level optionality.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Comparable Company Context: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Comparable firms across brokerage platforms, exchange infrastructure and fintech networks trade between roughly 10x and 15x EV/Revenue. Coinbase currently trades near ~7x EV/Revenue, slightly below all other comparables.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 Limitations</a:t>
          </a:r>
        </a:p>
        <a:p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Crypto Cyclicality – Trading volumes remain highly correlated with crypto prices and volatility.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Limited Pure Comparables – Coinbase sits between brokerage platforms, exchange infrastructure and fintech networks, making peer comparison imperfect.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Optionality Not Fully Captured in the DCF –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Coinbase evolving toward an “everything platform” (custody, staking, derivatives, payments).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Layer-2 network could generate ecosystem transaction revenue if adoption scales.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Coinbase One / subscriptions may improve revenue durability beyond trading cycles.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Risks</a:t>
          </a:r>
        </a:p>
        <a:p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Cyclical trading activity tied to crypto markets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Fee compression from increased competition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Regulatory changes affecting market structure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USDC‑related revenues tied to interest rate levels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Execution risk as Coinbase expands into new products and geographies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191598</xdr:colOff>
      <xdr:row>2</xdr:row>
      <xdr:rowOff>128113</xdr:rowOff>
    </xdr:from>
    <xdr:to>
      <xdr:col>30</xdr:col>
      <xdr:colOff>16806</xdr:colOff>
      <xdr:row>22</xdr:row>
      <xdr:rowOff>100898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155619</xdr:colOff>
      <xdr:row>24</xdr:row>
      <xdr:rowOff>117847</xdr:rowOff>
    </xdr:from>
    <xdr:to>
      <xdr:col>29</xdr:col>
      <xdr:colOff>657589</xdr:colOff>
      <xdr:row>41</xdr:row>
      <xdr:rowOff>142725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aoufel Lassel" id="{1588481A-0D3B-CB45-8345-743232874942}" userId="5c97fab21d9ac00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1" dT="2026-03-12T21:05:52.90" personId="{1588481A-0D3B-CB45-8345-743232874942}" id="{45387694-BB99-7644-9EFB-1DBFBFA302FA}">
    <text>I think the take rate here jump is a bit misleading. Given the Deribit acquisition, I assume some revenue from institutions stem from Derivatives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BB857-1F52-5445-82BE-AD914E7CDBDD}">
  <sheetPr>
    <tabColor rgb="FF0070C0"/>
  </sheetPr>
  <dimension ref="A1"/>
  <sheetViews>
    <sheetView showGridLines="0" showRowColHeaders="0" tabSelected="1" workbookViewId="0">
      <selection activeCell="Q16" sqref="Q1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"/>
  <sheetData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"/>
  <sheetViews>
    <sheetView showGridLines="0" showRowColHeaders="0" workbookViewId="0">
      <selection activeCell="F34" sqref="F3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"/>
  <sheetData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7"/>
  <sheetViews>
    <sheetView showGridLines="0" topLeftCell="A4" workbookViewId="0">
      <selection activeCell="D23" sqref="D23"/>
    </sheetView>
  </sheetViews>
  <sheetFormatPr baseColWidth="10" defaultColWidth="8.83203125" defaultRowHeight="15" x14ac:dyDescent="0.2"/>
  <cols>
    <col min="1" max="1" width="55" customWidth="1"/>
    <col min="2" max="4" width="14" customWidth="1"/>
  </cols>
  <sheetData>
    <row r="1" spans="1:4" ht="16" customHeight="1" x14ac:dyDescent="0.2">
      <c r="A1" s="1"/>
    </row>
    <row r="2" spans="1:4" x14ac:dyDescent="0.2">
      <c r="A2" s="2" t="s">
        <v>1</v>
      </c>
    </row>
    <row r="4" spans="1:4" x14ac:dyDescent="0.2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">
      <c r="A5" t="s">
        <v>6</v>
      </c>
    </row>
    <row r="6" spans="1:4" x14ac:dyDescent="0.2">
      <c r="A6" t="s">
        <v>7</v>
      </c>
      <c r="B6" s="9">
        <v>1334000</v>
      </c>
      <c r="C6" s="9">
        <v>3430000</v>
      </c>
      <c r="D6" s="9">
        <v>3320000</v>
      </c>
    </row>
    <row r="7" spans="1:4" x14ac:dyDescent="0.2">
      <c r="A7" t="s">
        <v>8</v>
      </c>
      <c r="B7" s="9">
        <v>90000</v>
      </c>
      <c r="C7" s="9">
        <v>346000</v>
      </c>
      <c r="D7" s="9">
        <v>480000</v>
      </c>
    </row>
    <row r="8" spans="1:4" x14ac:dyDescent="0.2">
      <c r="A8" t="s">
        <v>9</v>
      </c>
      <c r="B8" s="9">
        <v>96000</v>
      </c>
      <c r="C8" s="9">
        <v>210000</v>
      </c>
      <c r="D8" s="9">
        <v>253000</v>
      </c>
    </row>
    <row r="9" spans="1:4" x14ac:dyDescent="0.2">
      <c r="A9" s="5" t="s">
        <v>10</v>
      </c>
      <c r="B9" s="10">
        <f>SUM(B6:B8)</f>
        <v>1520000</v>
      </c>
      <c r="C9" s="10">
        <f>SUM(C6:C8)</f>
        <v>3986000</v>
      </c>
      <c r="D9" s="10">
        <f>SUM(D6:D8)</f>
        <v>4053000</v>
      </c>
    </row>
    <row r="10" spans="1:4" x14ac:dyDescent="0.2">
      <c r="B10" s="9"/>
      <c r="C10" s="9"/>
      <c r="D10" s="9"/>
    </row>
    <row r="11" spans="1:4" x14ac:dyDescent="0.2">
      <c r="A11" t="s">
        <v>11</v>
      </c>
      <c r="B11" s="9"/>
      <c r="C11" s="9"/>
      <c r="D11" s="9"/>
    </row>
    <row r="12" spans="1:4" x14ac:dyDescent="0.2">
      <c r="A12" t="s">
        <v>12</v>
      </c>
      <c r="B12" s="9">
        <v>694000</v>
      </c>
      <c r="C12" s="9">
        <v>910000</v>
      </c>
      <c r="D12" s="9">
        <v>1400000</v>
      </c>
    </row>
    <row r="13" spans="1:4" x14ac:dyDescent="0.2">
      <c r="A13" t="s">
        <v>13</v>
      </c>
      <c r="B13" s="9">
        <v>331000</v>
      </c>
      <c r="C13" s="9">
        <v>706000</v>
      </c>
      <c r="D13" s="9">
        <v>723000</v>
      </c>
    </row>
    <row r="14" spans="1:4" x14ac:dyDescent="0.2">
      <c r="A14" t="s">
        <v>14</v>
      </c>
      <c r="B14" s="9">
        <v>187000</v>
      </c>
      <c r="C14" s="9">
        <v>266000</v>
      </c>
      <c r="D14" s="9">
        <v>380000</v>
      </c>
    </row>
    <row r="15" spans="1:4" x14ac:dyDescent="0.2">
      <c r="A15" t="s">
        <v>15</v>
      </c>
      <c r="B15" s="9">
        <v>196000</v>
      </c>
      <c r="C15" s="9">
        <v>425000</v>
      </c>
      <c r="D15" s="9">
        <v>327000</v>
      </c>
    </row>
    <row r="16" spans="1:4" x14ac:dyDescent="0.2">
      <c r="A16" s="5" t="s">
        <v>16</v>
      </c>
      <c r="B16" s="10">
        <f>SUM(B12:B15)</f>
        <v>1408000</v>
      </c>
      <c r="C16" s="10">
        <f>SUM(C12:C15)</f>
        <v>2307000</v>
      </c>
      <c r="D16" s="10">
        <f>SUM(D12:D15)</f>
        <v>2830000</v>
      </c>
    </row>
    <row r="17" spans="1:4" x14ac:dyDescent="0.2">
      <c r="B17" s="9"/>
      <c r="C17" s="9"/>
      <c r="D17" s="9"/>
    </row>
    <row r="18" spans="1:4" x14ac:dyDescent="0.2">
      <c r="A18" s="12" t="s">
        <v>17</v>
      </c>
      <c r="B18" s="16">
        <f>181000</f>
        <v>181000</v>
      </c>
      <c r="C18" s="16">
        <v>271000</v>
      </c>
      <c r="D18" s="16">
        <v>298000</v>
      </c>
    </row>
    <row r="19" spans="1:4" x14ac:dyDescent="0.2">
      <c r="B19" s="13"/>
      <c r="C19" s="13"/>
      <c r="D19" s="13"/>
    </row>
    <row r="20" spans="1:4" x14ac:dyDescent="0.2">
      <c r="A20" s="5" t="s">
        <v>18</v>
      </c>
      <c r="B20" s="10">
        <f>B16+B9+B18</f>
        <v>3109000</v>
      </c>
      <c r="C20" s="10">
        <f>C16+C9+C18</f>
        <v>6564000</v>
      </c>
      <c r="D20" s="10">
        <f>D16+D9+D18</f>
        <v>7181000</v>
      </c>
    </row>
    <row r="21" spans="1:4" x14ac:dyDescent="0.2">
      <c r="B21" s="9"/>
      <c r="C21" s="9"/>
      <c r="D21" s="9"/>
    </row>
    <row r="22" spans="1:4" x14ac:dyDescent="0.2">
      <c r="A22" t="s">
        <v>19</v>
      </c>
      <c r="B22" s="9"/>
      <c r="C22" s="9"/>
      <c r="D22" s="9"/>
    </row>
    <row r="23" spans="1:4" x14ac:dyDescent="0.2">
      <c r="A23" t="s">
        <v>20</v>
      </c>
      <c r="B23" s="9">
        <v>421000</v>
      </c>
      <c r="C23" s="9">
        <v>898000</v>
      </c>
      <c r="D23" s="9">
        <v>1050000</v>
      </c>
    </row>
    <row r="24" spans="1:4" x14ac:dyDescent="0.2">
      <c r="A24" t="s">
        <v>21</v>
      </c>
      <c r="B24" s="9">
        <v>1325000</v>
      </c>
      <c r="C24" s="9">
        <v>1468000</v>
      </c>
      <c r="D24" s="9">
        <v>1680000</v>
      </c>
    </row>
    <row r="25" spans="1:4" x14ac:dyDescent="0.2">
      <c r="A25" t="s">
        <v>22</v>
      </c>
      <c r="B25" s="9">
        <v>332000</v>
      </c>
      <c r="C25" s="9">
        <v>654000</v>
      </c>
      <c r="D25" s="9">
        <v>850000</v>
      </c>
    </row>
    <row r="26" spans="1:4" x14ac:dyDescent="0.2">
      <c r="A26" t="s">
        <v>23</v>
      </c>
      <c r="B26" s="9">
        <v>1074000</v>
      </c>
      <c r="C26" s="9">
        <v>1300000</v>
      </c>
      <c r="D26" s="9">
        <v>1450000</v>
      </c>
    </row>
    <row r="27" spans="1:4" x14ac:dyDescent="0.2">
      <c r="A27" s="17" t="s">
        <v>24</v>
      </c>
      <c r="B27" s="18"/>
      <c r="C27" s="18">
        <v>-72000</v>
      </c>
      <c r="D27" s="18">
        <v>-95000</v>
      </c>
    </row>
    <row r="28" spans="1:4" x14ac:dyDescent="0.2">
      <c r="A28" t="s">
        <v>25</v>
      </c>
      <c r="B28" s="9">
        <v>10000</v>
      </c>
      <c r="C28" s="9">
        <v>8000</v>
      </c>
      <c r="D28" s="9">
        <v>810000</v>
      </c>
    </row>
    <row r="29" spans="1:4" x14ac:dyDescent="0.2">
      <c r="A29" s="19" t="s">
        <v>26</v>
      </c>
      <c r="B29" s="9">
        <v>-35000</v>
      </c>
      <c r="C29" s="9"/>
      <c r="D29" s="9"/>
    </row>
    <row r="30" spans="1:4" x14ac:dyDescent="0.2">
      <c r="A30" s="19" t="s">
        <v>27</v>
      </c>
      <c r="B30" s="9">
        <v>142000</v>
      </c>
      <c r="C30" s="9"/>
      <c r="D30" s="9"/>
    </row>
    <row r="31" spans="1:4" x14ac:dyDescent="0.2">
      <c r="A31" s="5" t="s">
        <v>28</v>
      </c>
      <c r="B31" s="10">
        <f>SUM(B23:B30)</f>
        <v>3269000</v>
      </c>
      <c r="C31" s="10">
        <f>SUM(C23:C30)</f>
        <v>4256000</v>
      </c>
      <c r="D31" s="10">
        <f>SUM(D23:D30)</f>
        <v>5745000</v>
      </c>
    </row>
    <row r="32" spans="1:4" x14ac:dyDescent="0.2">
      <c r="B32" s="9"/>
      <c r="C32" s="9"/>
      <c r="D32" s="20">
        <f>(D31-C31)/C31</f>
        <v>0.34985902255639095</v>
      </c>
    </row>
    <row r="33" spans="1:4" x14ac:dyDescent="0.2">
      <c r="A33" s="7" t="s">
        <v>29</v>
      </c>
      <c r="B33" s="11">
        <f>B20-B31</f>
        <v>-160000</v>
      </c>
      <c r="C33" s="11">
        <f>C20-C31</f>
        <v>2308000</v>
      </c>
      <c r="D33" s="11">
        <f>D20-D31</f>
        <v>1436000</v>
      </c>
    </row>
    <row r="34" spans="1:4" x14ac:dyDescent="0.2">
      <c r="A34" t="s">
        <v>30</v>
      </c>
      <c r="B34" s="9">
        <v>83000</v>
      </c>
      <c r="C34" s="9">
        <v>81000</v>
      </c>
      <c r="D34" s="9">
        <v>85000</v>
      </c>
    </row>
    <row r="35" spans="1:4" x14ac:dyDescent="0.2">
      <c r="A35" t="s">
        <v>31</v>
      </c>
      <c r="B35" s="9"/>
      <c r="C35" s="9">
        <v>-687000</v>
      </c>
      <c r="D35" s="9">
        <v>530000</v>
      </c>
    </row>
    <row r="36" spans="1:4" x14ac:dyDescent="0.2">
      <c r="A36" t="s">
        <v>32</v>
      </c>
      <c r="B36" s="9">
        <v>-167000</v>
      </c>
      <c r="C36" s="9">
        <v>-29000</v>
      </c>
      <c r="D36" s="9">
        <v>-700000</v>
      </c>
    </row>
    <row r="37" spans="1:4" x14ac:dyDescent="0.2">
      <c r="A37" s="5" t="s">
        <v>33</v>
      </c>
      <c r="B37" s="10">
        <f>B33-SUM(B34:B36)</f>
        <v>-76000</v>
      </c>
      <c r="C37" s="10">
        <f>C33-SUM(C34:C36)</f>
        <v>2943000</v>
      </c>
      <c r="D37" s="10">
        <f>D33-SUM(D34:D36)</f>
        <v>1521000</v>
      </c>
    </row>
    <row r="38" spans="1:4" x14ac:dyDescent="0.2">
      <c r="A38" t="s">
        <v>34</v>
      </c>
      <c r="B38" s="14">
        <v>-172000</v>
      </c>
      <c r="C38" s="14">
        <v>364000</v>
      </c>
      <c r="D38" s="14">
        <v>262000</v>
      </c>
    </row>
    <row r="39" spans="1:4" x14ac:dyDescent="0.2">
      <c r="A39" s="7" t="s">
        <v>35</v>
      </c>
      <c r="B39" s="11">
        <f>B37-B38</f>
        <v>96000</v>
      </c>
      <c r="C39" s="11">
        <f>C37-C38</f>
        <v>2579000</v>
      </c>
      <c r="D39" s="11">
        <f>D37-D38</f>
        <v>1259000</v>
      </c>
    </row>
    <row r="40" spans="1:4" x14ac:dyDescent="0.2">
      <c r="D40" s="20"/>
    </row>
    <row r="41" spans="1:4" x14ac:dyDescent="0.2">
      <c r="A41" s="12" t="s">
        <v>132</v>
      </c>
      <c r="B41" s="51"/>
      <c r="C41" s="51">
        <f>C38/C37</f>
        <v>0.1236833163438668</v>
      </c>
      <c r="D41" s="51">
        <f>D38/D33</f>
        <v>0.18245125348189414</v>
      </c>
    </row>
    <row r="45" spans="1:4" x14ac:dyDescent="0.2">
      <c r="B45" s="22"/>
      <c r="C45" s="22"/>
      <c r="D45" s="22"/>
    </row>
    <row r="46" spans="1:4" x14ac:dyDescent="0.2">
      <c r="B46" s="22"/>
      <c r="C46" s="22"/>
      <c r="D46" s="22"/>
    </row>
    <row r="47" spans="1:4" x14ac:dyDescent="0.2">
      <c r="B47" s="22"/>
      <c r="C47" s="22"/>
      <c r="D47" s="22"/>
    </row>
    <row r="48" spans="1:4" x14ac:dyDescent="0.2">
      <c r="A48" s="5"/>
      <c r="B48" s="51"/>
      <c r="C48" s="51"/>
      <c r="D48" s="51"/>
    </row>
    <row r="49" spans="1:4" x14ac:dyDescent="0.2">
      <c r="B49" s="22"/>
      <c r="C49" s="22"/>
      <c r="D49" s="22"/>
    </row>
    <row r="50" spans="1:4" x14ac:dyDescent="0.2">
      <c r="B50" s="22"/>
      <c r="C50" s="22"/>
      <c r="D50" s="22"/>
    </row>
    <row r="51" spans="1:4" x14ac:dyDescent="0.2">
      <c r="B51" s="22"/>
      <c r="C51" s="22"/>
      <c r="D51" s="22"/>
    </row>
    <row r="52" spans="1:4" x14ac:dyDescent="0.2">
      <c r="B52" s="22"/>
      <c r="C52" s="22"/>
      <c r="D52" s="22"/>
    </row>
    <row r="53" spans="1:4" x14ac:dyDescent="0.2">
      <c r="B53" s="22"/>
      <c r="C53" s="22"/>
      <c r="D53" s="22"/>
    </row>
    <row r="54" spans="1:4" x14ac:dyDescent="0.2">
      <c r="B54" s="22"/>
      <c r="C54" s="22"/>
      <c r="D54" s="22"/>
    </row>
    <row r="55" spans="1:4" x14ac:dyDescent="0.2">
      <c r="A55" s="5"/>
      <c r="B55" s="51"/>
      <c r="C55" s="51"/>
      <c r="D55" s="51"/>
    </row>
    <row r="56" spans="1:4" x14ac:dyDescent="0.2">
      <c r="B56" s="22"/>
      <c r="C56" s="22"/>
      <c r="D56" s="22"/>
    </row>
    <row r="57" spans="1:4" x14ac:dyDescent="0.2">
      <c r="A57" s="12"/>
      <c r="B57" s="22"/>
      <c r="C57" s="22"/>
      <c r="D57" s="22"/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6"/>
  <sheetViews>
    <sheetView showGridLines="0" topLeftCell="A3" workbookViewId="0">
      <selection activeCell="E17" sqref="E17"/>
    </sheetView>
  </sheetViews>
  <sheetFormatPr baseColWidth="10" defaultColWidth="8.83203125" defaultRowHeight="15" x14ac:dyDescent="0.2"/>
  <cols>
    <col min="1" max="1" width="50" customWidth="1"/>
    <col min="2" max="3" width="18" style="9" customWidth="1"/>
    <col min="5" max="5" width="37" bestFit="1" customWidth="1"/>
    <col min="6" max="7" width="12.1640625" bestFit="1" customWidth="1"/>
  </cols>
  <sheetData>
    <row r="1" spans="1:5" ht="16" customHeight="1" x14ac:dyDescent="0.2">
      <c r="A1" s="1"/>
    </row>
    <row r="2" spans="1:5" x14ac:dyDescent="0.2">
      <c r="A2" s="2" t="s">
        <v>36</v>
      </c>
    </row>
    <row r="4" spans="1:5" x14ac:dyDescent="0.2">
      <c r="A4" s="8" t="s">
        <v>2</v>
      </c>
      <c r="B4" s="27" t="s">
        <v>37</v>
      </c>
      <c r="C4" s="27" t="s">
        <v>38</v>
      </c>
    </row>
    <row r="5" spans="1:5" x14ac:dyDescent="0.2">
      <c r="A5" s="12" t="s">
        <v>39</v>
      </c>
    </row>
    <row r="7" spans="1:5" x14ac:dyDescent="0.2">
      <c r="A7" s="25" t="s">
        <v>40</v>
      </c>
    </row>
    <row r="8" spans="1:5" x14ac:dyDescent="0.2">
      <c r="A8" s="26" t="s">
        <v>41</v>
      </c>
      <c r="B8" s="9">
        <v>9310000</v>
      </c>
      <c r="C8" s="9">
        <v>11290000</v>
      </c>
      <c r="E8" s="20"/>
    </row>
    <row r="9" spans="1:5" x14ac:dyDescent="0.2">
      <c r="A9" s="26" t="s">
        <v>42</v>
      </c>
      <c r="B9" s="9">
        <v>350000</v>
      </c>
      <c r="C9" s="9">
        <v>330000</v>
      </c>
      <c r="E9" s="20"/>
    </row>
    <row r="10" spans="1:5" x14ac:dyDescent="0.2">
      <c r="A10" s="26" t="s">
        <v>43</v>
      </c>
      <c r="B10" s="9">
        <v>6160000</v>
      </c>
      <c r="C10" s="9">
        <v>5350000</v>
      </c>
      <c r="E10" s="20"/>
    </row>
    <row r="11" spans="1:5" x14ac:dyDescent="0.2">
      <c r="A11" s="26" t="s">
        <v>44</v>
      </c>
      <c r="B11" s="9">
        <v>80000</v>
      </c>
      <c r="C11" s="9">
        <v>120000</v>
      </c>
      <c r="E11" s="20"/>
    </row>
    <row r="12" spans="1:5" x14ac:dyDescent="0.2">
      <c r="A12" s="26" t="s">
        <v>45</v>
      </c>
      <c r="B12" s="9">
        <v>640000</v>
      </c>
      <c r="C12" s="9">
        <v>1350000</v>
      </c>
      <c r="E12" s="20"/>
    </row>
    <row r="13" spans="1:5" x14ac:dyDescent="0.2">
      <c r="A13" s="26" t="s">
        <v>46</v>
      </c>
      <c r="B13" s="9">
        <v>770000</v>
      </c>
      <c r="C13" s="9">
        <v>820000</v>
      </c>
      <c r="E13" s="20"/>
    </row>
    <row r="14" spans="1:5" x14ac:dyDescent="0.2">
      <c r="A14" s="26" t="s">
        <v>47</v>
      </c>
      <c r="B14" s="9">
        <v>260000</v>
      </c>
      <c r="C14" s="9">
        <v>320000</v>
      </c>
      <c r="E14" s="20"/>
    </row>
    <row r="15" spans="1:5" x14ac:dyDescent="0.2">
      <c r="A15" s="26" t="s">
        <v>48</v>
      </c>
      <c r="B15" s="9">
        <v>270000</v>
      </c>
      <c r="C15" s="9">
        <v>310000</v>
      </c>
      <c r="E15" s="20"/>
    </row>
    <row r="16" spans="1:5" x14ac:dyDescent="0.2">
      <c r="A16" s="26" t="s">
        <v>49</v>
      </c>
      <c r="B16" s="9">
        <v>0</v>
      </c>
      <c r="C16" s="9">
        <v>310000</v>
      </c>
      <c r="E16" s="20"/>
    </row>
    <row r="17" spans="1:5" x14ac:dyDescent="0.2">
      <c r="A17" s="26" t="s">
        <v>50</v>
      </c>
      <c r="B17" s="9">
        <v>280000</v>
      </c>
      <c r="C17" s="9">
        <v>190000</v>
      </c>
      <c r="E17" s="20"/>
    </row>
    <row r="18" spans="1:5" x14ac:dyDescent="0.2">
      <c r="A18" s="24" t="s">
        <v>51</v>
      </c>
      <c r="B18" s="28">
        <f>SUM(B8:B17)</f>
        <v>18120000</v>
      </c>
      <c r="C18" s="28">
        <f>SUM(C8:C17)</f>
        <v>20390000</v>
      </c>
      <c r="E18" s="20"/>
    </row>
    <row r="20" spans="1:5" x14ac:dyDescent="0.2">
      <c r="A20" s="25" t="s">
        <v>52</v>
      </c>
    </row>
    <row r="21" spans="1:5" x14ac:dyDescent="0.2">
      <c r="A21" s="26" t="s">
        <v>53</v>
      </c>
      <c r="B21" s="9">
        <v>1550000</v>
      </c>
      <c r="C21" s="9">
        <v>2000000</v>
      </c>
      <c r="E21" s="20"/>
    </row>
    <row r="22" spans="1:5" x14ac:dyDescent="0.2">
      <c r="A22" s="26" t="s">
        <v>54</v>
      </c>
      <c r="B22" s="9">
        <v>370000</v>
      </c>
      <c r="C22" s="9">
        <v>620000</v>
      </c>
      <c r="E22" s="20"/>
    </row>
    <row r="23" spans="1:5" x14ac:dyDescent="0.2">
      <c r="A23" s="26" t="s">
        <v>55</v>
      </c>
      <c r="B23" s="9">
        <v>940000</v>
      </c>
      <c r="C23" s="9">
        <v>570000</v>
      </c>
      <c r="E23" s="20"/>
    </row>
    <row r="24" spans="1:5" x14ac:dyDescent="0.2">
      <c r="A24" s="26" t="s">
        <v>56</v>
      </c>
      <c r="B24" s="9">
        <v>200000</v>
      </c>
      <c r="C24" s="9">
        <v>270000</v>
      </c>
      <c r="E24" s="20"/>
    </row>
    <row r="25" spans="1:5" x14ac:dyDescent="0.2">
      <c r="A25" s="26" t="s">
        <v>57</v>
      </c>
      <c r="B25" s="9">
        <v>1140000</v>
      </c>
      <c r="C25" s="9">
        <v>4170000</v>
      </c>
      <c r="E25" s="20"/>
    </row>
    <row r="26" spans="1:5" x14ac:dyDescent="0.2">
      <c r="A26" s="26" t="s">
        <v>58</v>
      </c>
      <c r="B26" s="9">
        <v>50000</v>
      </c>
      <c r="C26" s="9">
        <v>1400000</v>
      </c>
      <c r="E26" s="20"/>
    </row>
    <row r="27" spans="1:5" x14ac:dyDescent="0.2">
      <c r="A27" s="26" t="s">
        <v>59</v>
      </c>
      <c r="B27" s="9">
        <v>170000</v>
      </c>
      <c r="C27" s="9">
        <v>260000</v>
      </c>
      <c r="E27" s="20"/>
    </row>
    <row r="28" spans="1:5" x14ac:dyDescent="0.2">
      <c r="A28" s="24" t="s">
        <v>60</v>
      </c>
      <c r="B28" s="28">
        <f>SUM(B21:B27)</f>
        <v>4420000</v>
      </c>
      <c r="C28" s="28">
        <f>SUM(C21:C27)</f>
        <v>9290000</v>
      </c>
      <c r="E28" s="20"/>
    </row>
    <row r="30" spans="1:5" x14ac:dyDescent="0.2">
      <c r="A30" s="24" t="s">
        <v>61</v>
      </c>
      <c r="B30" s="28">
        <v>22540000</v>
      </c>
      <c r="C30" s="28">
        <f>C28+C18</f>
        <v>29680000</v>
      </c>
      <c r="E30" s="31"/>
    </row>
    <row r="32" spans="1:5" x14ac:dyDescent="0.2">
      <c r="A32" s="12" t="s">
        <v>62</v>
      </c>
    </row>
    <row r="34" spans="1:5" x14ac:dyDescent="0.2">
      <c r="A34" s="25" t="s">
        <v>63</v>
      </c>
    </row>
    <row r="35" spans="1:5" x14ac:dyDescent="0.2">
      <c r="A35" s="26" t="s">
        <v>64</v>
      </c>
      <c r="B35" s="9">
        <v>6160000</v>
      </c>
      <c r="C35" s="9">
        <v>5350000</v>
      </c>
      <c r="E35" s="20"/>
    </row>
    <row r="36" spans="1:5" x14ac:dyDescent="0.2">
      <c r="A36" s="26" t="s">
        <v>65</v>
      </c>
      <c r="B36" s="9">
        <v>60000</v>
      </c>
      <c r="C36" s="9">
        <v>120000</v>
      </c>
      <c r="E36" s="20"/>
    </row>
    <row r="37" spans="1:5" s="12" customFormat="1" x14ac:dyDescent="0.2">
      <c r="A37" s="26" t="s">
        <v>66</v>
      </c>
      <c r="B37" s="9">
        <v>0</v>
      </c>
      <c r="C37" s="9">
        <v>1270000</v>
      </c>
      <c r="E37" s="20"/>
    </row>
    <row r="38" spans="1:5" x14ac:dyDescent="0.2">
      <c r="A38" s="26" t="s">
        <v>67</v>
      </c>
      <c r="B38" s="9">
        <v>380000</v>
      </c>
      <c r="C38" s="9">
        <v>450000</v>
      </c>
      <c r="E38" s="20"/>
    </row>
    <row r="39" spans="1:5" x14ac:dyDescent="0.2">
      <c r="A39" s="26" t="s">
        <v>68</v>
      </c>
      <c r="B39" s="9">
        <v>790000</v>
      </c>
      <c r="C39" s="9">
        <v>830000</v>
      </c>
      <c r="E39" s="20"/>
    </row>
    <row r="40" spans="1:5" x14ac:dyDescent="0.2">
      <c r="A40" s="26" t="s">
        <v>69</v>
      </c>
      <c r="B40" s="9">
        <v>550000</v>
      </c>
      <c r="C40" s="9">
        <v>690000</v>
      </c>
      <c r="E40" s="20"/>
    </row>
    <row r="41" spans="1:5" x14ac:dyDescent="0.2">
      <c r="A41" s="25" t="s">
        <v>70</v>
      </c>
      <c r="B41" s="28">
        <f>SUM(B35:B40)</f>
        <v>7940000</v>
      </c>
      <c r="C41" s="28">
        <f>SUM(C35:C40)</f>
        <v>8710000</v>
      </c>
      <c r="E41" s="20"/>
    </row>
    <row r="42" spans="1:5" x14ac:dyDescent="0.2">
      <c r="A42" s="12"/>
      <c r="B42" s="28"/>
      <c r="C42" s="28"/>
    </row>
    <row r="43" spans="1:5" x14ac:dyDescent="0.2">
      <c r="A43" s="25" t="s">
        <v>71</v>
      </c>
    </row>
    <row r="44" spans="1:5" x14ac:dyDescent="0.2">
      <c r="A44" s="26" t="s">
        <v>72</v>
      </c>
      <c r="B44" s="9">
        <v>4230000</v>
      </c>
      <c r="C44" s="9">
        <v>5940000</v>
      </c>
      <c r="E44" s="20"/>
    </row>
    <row r="45" spans="1:5" x14ac:dyDescent="0.2">
      <c r="A45" s="26" t="s">
        <v>73</v>
      </c>
      <c r="B45" s="9">
        <v>90000</v>
      </c>
      <c r="C45" s="9">
        <v>240000</v>
      </c>
      <c r="E45" s="20"/>
    </row>
    <row r="46" spans="1:5" x14ac:dyDescent="0.2">
      <c r="A46" s="24" t="s">
        <v>74</v>
      </c>
      <c r="B46" s="28">
        <f>SUM(B44:B45)</f>
        <v>4320000</v>
      </c>
      <c r="C46" s="28">
        <f>SUM(C44:C45)</f>
        <v>6180000</v>
      </c>
      <c r="E46" s="20"/>
    </row>
    <row r="48" spans="1:5" x14ac:dyDescent="0.2">
      <c r="A48" s="24" t="s">
        <v>75</v>
      </c>
      <c r="B48" s="28">
        <f>B46+B41</f>
        <v>12260000</v>
      </c>
      <c r="C48" s="28">
        <f>C46+C41</f>
        <v>14890000</v>
      </c>
      <c r="E48" s="20"/>
    </row>
    <row r="49" spans="1:5" x14ac:dyDescent="0.2">
      <c r="A49" s="23"/>
    </row>
    <row r="50" spans="1:5" x14ac:dyDescent="0.2">
      <c r="A50" s="25" t="s">
        <v>76</v>
      </c>
    </row>
    <row r="51" spans="1:5" x14ac:dyDescent="0.2">
      <c r="A51" s="26" t="s">
        <v>77</v>
      </c>
      <c r="B51" s="9">
        <v>5370000</v>
      </c>
      <c r="C51" s="9">
        <v>8570000</v>
      </c>
      <c r="E51" s="20"/>
    </row>
    <row r="52" spans="1:5" x14ac:dyDescent="0.2">
      <c r="A52" s="26" t="s">
        <v>78</v>
      </c>
      <c r="B52" s="9">
        <v>-50000</v>
      </c>
      <c r="C52" s="9">
        <v>0</v>
      </c>
      <c r="E52" s="20"/>
    </row>
    <row r="53" spans="1:5" x14ac:dyDescent="0.2">
      <c r="A53" s="26" t="s">
        <v>79</v>
      </c>
      <c r="B53" s="9">
        <v>4960000</v>
      </c>
      <c r="C53" s="9">
        <v>6220000</v>
      </c>
      <c r="E53" s="20"/>
    </row>
    <row r="54" spans="1:5" x14ac:dyDescent="0.2">
      <c r="A54" s="24" t="s">
        <v>80</v>
      </c>
      <c r="B54" s="28">
        <f>SUM(B51:B53)</f>
        <v>10280000</v>
      </c>
      <c r="C54" s="28">
        <f>SUM(C51:C53)</f>
        <v>14790000</v>
      </c>
      <c r="E54" s="20"/>
    </row>
    <row r="56" spans="1:5" x14ac:dyDescent="0.2">
      <c r="A56" s="5" t="s">
        <v>81</v>
      </c>
      <c r="B56" s="28">
        <f>B54+B48</f>
        <v>22540000</v>
      </c>
      <c r="C56" s="28">
        <f>C54+C48</f>
        <v>29680000</v>
      </c>
      <c r="E56" s="20"/>
    </row>
  </sheetData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0"/>
  <sheetViews>
    <sheetView showGridLines="0" workbookViewId="0">
      <selection activeCell="D7" sqref="D7"/>
    </sheetView>
  </sheetViews>
  <sheetFormatPr baseColWidth="10" defaultColWidth="8.83203125" defaultRowHeight="15" x14ac:dyDescent="0.2"/>
  <cols>
    <col min="1" max="1" width="50" customWidth="1"/>
    <col min="2" max="4" width="18" customWidth="1"/>
  </cols>
  <sheetData>
    <row r="1" spans="1:4" ht="16" customHeight="1" x14ac:dyDescent="0.2">
      <c r="A1" s="1"/>
    </row>
    <row r="2" spans="1:4" x14ac:dyDescent="0.2">
      <c r="A2" s="2" t="s">
        <v>82</v>
      </c>
    </row>
    <row r="4" spans="1:4" x14ac:dyDescent="0.2">
      <c r="A4" s="8" t="s">
        <v>2</v>
      </c>
      <c r="B4" s="8" t="s">
        <v>3</v>
      </c>
      <c r="C4" s="8" t="s">
        <v>4</v>
      </c>
      <c r="D4" s="8" t="s">
        <v>5</v>
      </c>
    </row>
    <row r="5" spans="1:4" x14ac:dyDescent="0.2">
      <c r="A5" t="s">
        <v>83</v>
      </c>
    </row>
    <row r="6" spans="1:4" x14ac:dyDescent="0.2">
      <c r="A6" s="5" t="s">
        <v>84</v>
      </c>
      <c r="B6" s="10">
        <v>95000</v>
      </c>
      <c r="C6" s="10">
        <v>2579000</v>
      </c>
      <c r="D6" s="10">
        <v>1260000</v>
      </c>
    </row>
    <row r="7" spans="1:4" x14ac:dyDescent="0.2">
      <c r="A7" t="s">
        <v>85</v>
      </c>
      <c r="B7" s="9">
        <v>140000</v>
      </c>
      <c r="C7" s="9">
        <v>128000</v>
      </c>
      <c r="D7" s="9">
        <v>189000</v>
      </c>
    </row>
    <row r="8" spans="1:4" x14ac:dyDescent="0.2">
      <c r="A8" t="s">
        <v>86</v>
      </c>
      <c r="B8" s="9">
        <v>781000</v>
      </c>
      <c r="C8" s="9">
        <v>913000</v>
      </c>
      <c r="D8" s="9">
        <v>840000</v>
      </c>
    </row>
    <row r="9" spans="1:4" x14ac:dyDescent="0.2">
      <c r="A9" t="s">
        <v>87</v>
      </c>
      <c r="B9" s="9">
        <v>-216000</v>
      </c>
      <c r="C9" s="9">
        <v>151000</v>
      </c>
      <c r="D9" s="9">
        <v>238000</v>
      </c>
    </row>
    <row r="10" spans="1:4" x14ac:dyDescent="0.2">
      <c r="A10" t="s">
        <v>88</v>
      </c>
      <c r="B10" s="9">
        <v>-24000</v>
      </c>
      <c r="C10" s="9">
        <v>11000</v>
      </c>
      <c r="D10" s="9">
        <v>-680000</v>
      </c>
    </row>
    <row r="11" spans="1:4" x14ac:dyDescent="0.2">
      <c r="A11" t="s">
        <v>89</v>
      </c>
      <c r="B11" s="9">
        <v>0</v>
      </c>
      <c r="C11" s="9">
        <f>-687000-71000</f>
        <v>-758000</v>
      </c>
      <c r="D11" s="9">
        <v>550000</v>
      </c>
    </row>
    <row r="12" spans="1:4" x14ac:dyDescent="0.2">
      <c r="A12" t="s">
        <v>90</v>
      </c>
      <c r="B12" s="9">
        <f>151000+298000-460000+96000-117000-117000</f>
        <v>-149000</v>
      </c>
      <c r="C12" s="9">
        <v>11000</v>
      </c>
      <c r="D12" s="9">
        <v>62000</v>
      </c>
    </row>
    <row r="13" spans="1:4" x14ac:dyDescent="0.2">
      <c r="A13" t="s">
        <v>91</v>
      </c>
      <c r="B13" s="9">
        <f>84000-115000+8000+28000+43000</f>
        <v>48000</v>
      </c>
      <c r="C13" s="9">
        <f>-100000+47000+77000+48000-3000</f>
        <v>69000</v>
      </c>
      <c r="D13" s="9">
        <f>-2000+57000-148000-48000+108000</f>
        <v>-33000</v>
      </c>
    </row>
    <row r="14" spans="1:4" x14ac:dyDescent="0.2">
      <c r="A14" s="5" t="s">
        <v>92</v>
      </c>
      <c r="B14" s="10">
        <f>SUM(B6:B13)</f>
        <v>675000</v>
      </c>
      <c r="C14" s="10">
        <f>SUM(C6:C13)</f>
        <v>3104000</v>
      </c>
      <c r="D14" s="10">
        <f>SUM(D6:D13)</f>
        <v>2426000</v>
      </c>
    </row>
    <row r="15" spans="1:4" x14ac:dyDescent="0.2">
      <c r="D15" s="20"/>
    </row>
    <row r="17" spans="1:4" x14ac:dyDescent="0.2">
      <c r="B17" s="4"/>
      <c r="C17" s="4"/>
      <c r="D17" s="4"/>
    </row>
    <row r="18" spans="1:4" x14ac:dyDescent="0.2">
      <c r="C18" s="4"/>
      <c r="D18" s="4"/>
    </row>
    <row r="19" spans="1:4" x14ac:dyDescent="0.2">
      <c r="B19" s="4"/>
      <c r="C19" s="4"/>
    </row>
    <row r="20" spans="1:4" x14ac:dyDescent="0.2">
      <c r="A20" s="5"/>
      <c r="B20" s="6"/>
      <c r="C20" s="6"/>
      <c r="D20" s="6"/>
    </row>
    <row r="23" spans="1:4" x14ac:dyDescent="0.2">
      <c r="C23" s="4"/>
    </row>
    <row r="24" spans="1:4" x14ac:dyDescent="0.2">
      <c r="B24" s="4"/>
      <c r="C24" s="4"/>
      <c r="D24" s="4"/>
    </row>
    <row r="25" spans="1:4" x14ac:dyDescent="0.2">
      <c r="B25" s="4"/>
      <c r="C25" s="4"/>
      <c r="D25" s="4"/>
    </row>
    <row r="26" spans="1:4" x14ac:dyDescent="0.2">
      <c r="D26" s="4"/>
    </row>
    <row r="27" spans="1:4" x14ac:dyDescent="0.2">
      <c r="B27" s="4"/>
      <c r="C27" s="4"/>
      <c r="D27" s="4"/>
    </row>
    <row r="28" spans="1:4" x14ac:dyDescent="0.2">
      <c r="A28" s="5"/>
      <c r="B28" s="6"/>
      <c r="C28" s="6"/>
      <c r="D28" s="6"/>
    </row>
    <row r="30" spans="1:4" x14ac:dyDescent="0.2">
      <c r="A30" s="5"/>
      <c r="B30" s="6"/>
      <c r="C30" s="6"/>
      <c r="D30" s="6"/>
    </row>
  </sheetData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"/>
  <sheetViews>
    <sheetView showGridLines="0" showRowColHeaders="0" workbookViewId="0">
      <selection activeCell="G18" sqref="G1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"/>
  <sheetData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5"/>
  <sheetViews>
    <sheetView showGridLines="0" zoomScale="75" zoomScaleNormal="100" workbookViewId="0">
      <selection activeCell="I49" sqref="I49"/>
    </sheetView>
  </sheetViews>
  <sheetFormatPr baseColWidth="10" defaultColWidth="8.83203125" defaultRowHeight="15" x14ac:dyDescent="0.2"/>
  <cols>
    <col min="1" max="1" width="55" customWidth="1"/>
    <col min="2" max="4" width="14" customWidth="1"/>
    <col min="5" max="5" width="3.6640625" customWidth="1"/>
    <col min="6" max="10" width="17.1640625" bestFit="1" customWidth="1"/>
    <col min="11" max="11" width="2.5" customWidth="1"/>
    <col min="12" max="14" width="17.1640625" bestFit="1" customWidth="1"/>
    <col min="15" max="15" width="2.1640625" customWidth="1"/>
    <col min="16" max="18" width="17.1640625" bestFit="1" customWidth="1"/>
  </cols>
  <sheetData>
    <row r="1" spans="1:18" ht="16" customHeight="1" x14ac:dyDescent="0.2">
      <c r="A1" s="1"/>
    </row>
    <row r="2" spans="1:18" x14ac:dyDescent="0.2">
      <c r="A2" s="2" t="s">
        <v>1</v>
      </c>
      <c r="F2" s="92" t="s">
        <v>101</v>
      </c>
      <c r="G2" s="92"/>
      <c r="H2" s="92"/>
      <c r="I2" s="92"/>
      <c r="J2" s="92"/>
      <c r="L2" s="92" t="s">
        <v>102</v>
      </c>
      <c r="M2" s="92"/>
      <c r="N2" s="92"/>
      <c r="P2" s="92" t="s">
        <v>103</v>
      </c>
      <c r="Q2" s="92"/>
      <c r="R2" s="92"/>
    </row>
    <row r="3" spans="1:18" x14ac:dyDescent="0.2">
      <c r="B3" s="90" t="s">
        <v>126</v>
      </c>
      <c r="C3" s="90"/>
      <c r="D3" s="91"/>
      <c r="F3" s="92" t="s">
        <v>105</v>
      </c>
      <c r="G3" s="92"/>
      <c r="H3" s="92"/>
      <c r="I3" s="92"/>
      <c r="J3" s="92"/>
      <c r="L3" s="92" t="s">
        <v>105</v>
      </c>
      <c r="M3" s="92"/>
      <c r="N3" s="92"/>
      <c r="P3" s="92" t="s">
        <v>105</v>
      </c>
      <c r="Q3" s="92"/>
      <c r="R3" s="92"/>
    </row>
    <row r="4" spans="1:18" x14ac:dyDescent="0.2">
      <c r="A4" s="3" t="s">
        <v>2</v>
      </c>
      <c r="B4" s="3" t="s">
        <v>3</v>
      </c>
      <c r="C4" s="3" t="s">
        <v>4</v>
      </c>
      <c r="D4" s="3" t="s">
        <v>5</v>
      </c>
      <c r="F4" s="32">
        <v>2026</v>
      </c>
      <c r="G4" s="32">
        <v>2027</v>
      </c>
      <c r="H4" s="32">
        <v>2028</v>
      </c>
      <c r="I4" s="32">
        <v>2029</v>
      </c>
      <c r="J4" s="32">
        <v>2030</v>
      </c>
      <c r="L4" s="32">
        <v>2026</v>
      </c>
      <c r="M4" s="32">
        <v>2027</v>
      </c>
      <c r="N4" s="32">
        <v>2028</v>
      </c>
      <c r="P4" s="32">
        <v>2026</v>
      </c>
      <c r="Q4" s="32">
        <v>2027</v>
      </c>
      <c r="R4" s="32">
        <v>2028</v>
      </c>
    </row>
    <row r="5" spans="1:18" x14ac:dyDescent="0.2">
      <c r="A5" t="s">
        <v>6</v>
      </c>
    </row>
    <row r="6" spans="1:18" x14ac:dyDescent="0.2">
      <c r="A6" t="s">
        <v>93</v>
      </c>
      <c r="B6" s="9">
        <v>1334000</v>
      </c>
      <c r="C6" s="9">
        <v>3430000</v>
      </c>
      <c r="D6" s="9">
        <v>3320000</v>
      </c>
      <c r="F6" s="15">
        <f>F49*F48</f>
        <v>3387825</v>
      </c>
      <c r="G6" s="15">
        <f>G49*G48</f>
        <v>3425467.5</v>
      </c>
      <c r="H6" s="15">
        <f>H49*H48</f>
        <v>3596740.875</v>
      </c>
      <c r="I6" s="15">
        <f>I49*I48</f>
        <v>3631324.921875</v>
      </c>
      <c r="J6" s="15">
        <f>J49*J48</f>
        <v>3812891.16796875</v>
      </c>
      <c r="L6" s="15">
        <f>L49*L48</f>
        <v>2896680</v>
      </c>
      <c r="M6" s="15">
        <f>M49*M48</f>
        <v>2925646.8000000003</v>
      </c>
      <c r="N6" s="15">
        <f>N49*N48</f>
        <v>2954903.2680000002</v>
      </c>
      <c r="P6" s="15">
        <f>P49*P48</f>
        <v>3580220</v>
      </c>
      <c r="Q6" s="15">
        <f>Q49*Q48</f>
        <v>3830835.4</v>
      </c>
      <c r="R6" s="15">
        <f>R49*R48</f>
        <v>4098993.878</v>
      </c>
    </row>
    <row r="7" spans="1:18" x14ac:dyDescent="0.2">
      <c r="A7" t="s">
        <v>94</v>
      </c>
      <c r="B7" s="9">
        <v>90000</v>
      </c>
      <c r="C7" s="9">
        <v>346000</v>
      </c>
      <c r="D7" s="9">
        <v>480000</v>
      </c>
      <c r="F7" s="15">
        <f>F51*F50</f>
        <v>513600.00000000006</v>
      </c>
      <c r="G7" s="15">
        <f>G51*G50</f>
        <v>618360.49000000022</v>
      </c>
      <c r="H7" s="15">
        <f>H51*H50</f>
        <v>721795.33560000011</v>
      </c>
      <c r="I7" s="15">
        <f>I51*I50</f>
        <v>836681.09318300022</v>
      </c>
      <c r="J7" s="15">
        <f>J51*J50</f>
        <v>895248.76970581023</v>
      </c>
      <c r="L7" s="15">
        <f>L51*L50</f>
        <v>412440</v>
      </c>
      <c r="M7" s="15">
        <f>M51*M50</f>
        <v>433062</v>
      </c>
      <c r="N7" s="15">
        <f>N51*N50</f>
        <v>454715.10000000003</v>
      </c>
      <c r="P7" s="15">
        <f>P51*P50</f>
        <v>648120</v>
      </c>
      <c r="Q7" s="15">
        <f>Q51*Q50</f>
        <v>772343</v>
      </c>
      <c r="R7" s="15">
        <f>R51*R50</f>
        <v>914929.4</v>
      </c>
    </row>
    <row r="8" spans="1:18" x14ac:dyDescent="0.2">
      <c r="A8" t="s">
        <v>95</v>
      </c>
      <c r="B8" s="9">
        <v>96000</v>
      </c>
      <c r="C8" s="9">
        <v>210000</v>
      </c>
      <c r="D8" s="9">
        <v>253000</v>
      </c>
      <c r="F8" s="15">
        <f>D8</f>
        <v>253000</v>
      </c>
      <c r="G8" s="15">
        <f>F8</f>
        <v>253000</v>
      </c>
      <c r="H8" s="15">
        <f>G8</f>
        <v>253000</v>
      </c>
      <c r="I8" s="15">
        <f>H8</f>
        <v>253000</v>
      </c>
      <c r="J8" s="15">
        <f>I8</f>
        <v>253000</v>
      </c>
      <c r="L8" s="15">
        <f>D8</f>
        <v>253000</v>
      </c>
      <c r="M8" s="15">
        <f>L8</f>
        <v>253000</v>
      </c>
      <c r="N8" s="15">
        <f>M8</f>
        <v>253000</v>
      </c>
      <c r="P8" s="15">
        <f>D8</f>
        <v>253000</v>
      </c>
      <c r="Q8" s="15">
        <f>P8</f>
        <v>253000</v>
      </c>
      <c r="R8" s="15">
        <f>Q8</f>
        <v>253000</v>
      </c>
    </row>
    <row r="9" spans="1:18" x14ac:dyDescent="0.2">
      <c r="A9" s="5" t="s">
        <v>10</v>
      </c>
      <c r="B9" s="10">
        <f>SUM(B6:B8)</f>
        <v>1520000</v>
      </c>
      <c r="C9" s="10">
        <f>SUM(C6:C8)</f>
        <v>3986000</v>
      </c>
      <c r="D9" s="10">
        <f>SUM(D6:D8)</f>
        <v>4053000</v>
      </c>
      <c r="F9" s="10">
        <f t="shared" ref="F9:H9" si="0">SUM(F6:F8)</f>
        <v>4154425</v>
      </c>
      <c r="G9" s="10">
        <f t="shared" si="0"/>
        <v>4296827.99</v>
      </c>
      <c r="H9" s="10">
        <f t="shared" si="0"/>
        <v>4571536.2105999999</v>
      </c>
      <c r="I9" s="10">
        <f t="shared" ref="I9:J9" si="1">SUM(I6:I8)</f>
        <v>4721006.0150580006</v>
      </c>
      <c r="J9" s="10">
        <f t="shared" si="1"/>
        <v>4961139.9376745606</v>
      </c>
      <c r="L9" s="10">
        <f t="shared" ref="L9" si="2">SUM(L6:L8)</f>
        <v>3562120</v>
      </c>
      <c r="M9" s="10">
        <f t="shared" ref="M9" si="3">SUM(M6:M8)</f>
        <v>3611708.8000000003</v>
      </c>
      <c r="N9" s="10">
        <f t="shared" ref="N9" si="4">SUM(N6:N8)</f>
        <v>3662618.3680000002</v>
      </c>
      <c r="P9" s="10">
        <f t="shared" ref="P9" si="5">SUM(P6:P8)</f>
        <v>4481340</v>
      </c>
      <c r="Q9" s="10">
        <f t="shared" ref="Q9" si="6">SUM(Q6:Q8)</f>
        <v>4856178.4000000004</v>
      </c>
      <c r="R9" s="10">
        <f t="shared" ref="R9" si="7">SUM(R6:R8)</f>
        <v>5266923.2779999999</v>
      </c>
    </row>
    <row r="10" spans="1:18" x14ac:dyDescent="0.2">
      <c r="B10" s="9"/>
      <c r="C10" s="9"/>
      <c r="D10" s="21"/>
    </row>
    <row r="11" spans="1:18" x14ac:dyDescent="0.2">
      <c r="A11" t="s">
        <v>11</v>
      </c>
      <c r="B11" s="9"/>
      <c r="C11" s="9"/>
      <c r="D11" s="9"/>
    </row>
    <row r="12" spans="1:18" x14ac:dyDescent="0.2">
      <c r="A12" t="s">
        <v>12</v>
      </c>
      <c r="B12" s="9">
        <v>694000</v>
      </c>
      <c r="C12" s="9">
        <v>910000</v>
      </c>
      <c r="D12" s="9">
        <v>1400000</v>
      </c>
      <c r="F12" s="86">
        <f>F54*F55</f>
        <v>1470000</v>
      </c>
      <c r="G12" s="86">
        <f>G54*G55</f>
        <v>1633640.4000000001</v>
      </c>
      <c r="H12" s="86">
        <f>H54*H55</f>
        <v>1929737.7225000001</v>
      </c>
      <c r="I12" s="86">
        <f>I54*I55</f>
        <v>2251360.67625</v>
      </c>
      <c r="J12" s="86">
        <f>J54*J55</f>
        <v>2363928.7100625001</v>
      </c>
      <c r="L12" s="86">
        <f>L54*L55</f>
        <v>1403041.4999999998</v>
      </c>
      <c r="M12" s="86">
        <f>M54*M55</f>
        <v>1322600.4539999999</v>
      </c>
      <c r="N12" s="86">
        <f>N54*N55</f>
        <v>1335826.4585399998</v>
      </c>
      <c r="P12" s="86">
        <f>P54*P55</f>
        <v>1653088.5000000002</v>
      </c>
      <c r="Q12" s="86">
        <f>Q54*Q55</f>
        <v>1939947.9750000001</v>
      </c>
      <c r="R12" s="86">
        <f>R54*R55</f>
        <v>2251360.67625</v>
      </c>
    </row>
    <row r="13" spans="1:18" x14ac:dyDescent="0.2">
      <c r="A13" t="s">
        <v>13</v>
      </c>
      <c r="B13" s="9">
        <v>331000</v>
      </c>
      <c r="C13" s="9">
        <v>706000</v>
      </c>
      <c r="D13" s="9">
        <v>723000</v>
      </c>
      <c r="F13" s="9">
        <f>D13*(1.04)</f>
        <v>751920</v>
      </c>
      <c r="G13" s="9">
        <f>F13*(1.04)</f>
        <v>781996.8</v>
      </c>
      <c r="H13" s="9">
        <f>G13*(1.04)</f>
        <v>813276.67200000002</v>
      </c>
      <c r="I13" s="9">
        <f>H13*(1.04)</f>
        <v>845807.73888000008</v>
      </c>
      <c r="J13" s="9">
        <f>I13*(1.04)</f>
        <v>879640.04843520012</v>
      </c>
      <c r="L13" s="9">
        <f>D13*(1.02)</f>
        <v>737460</v>
      </c>
      <c r="M13" s="15">
        <f>L13*(1.02)</f>
        <v>752209.20000000007</v>
      </c>
      <c r="N13" s="15">
        <f>M13*(1.02)</f>
        <v>767253.38400000008</v>
      </c>
      <c r="P13" s="15">
        <f>D13*(1.06)</f>
        <v>766380</v>
      </c>
      <c r="Q13" s="15">
        <f>P13*(1.06)</f>
        <v>812362.8</v>
      </c>
      <c r="R13" s="15">
        <f>Q13*(1.06)</f>
        <v>861104.56800000009</v>
      </c>
    </row>
    <row r="14" spans="1:18" x14ac:dyDescent="0.2">
      <c r="A14" t="s">
        <v>14</v>
      </c>
      <c r="B14" s="9">
        <v>187000</v>
      </c>
      <c r="C14" s="9">
        <v>266000</v>
      </c>
      <c r="D14" s="9">
        <v>380000</v>
      </c>
      <c r="F14" s="9">
        <f>D14*(1.01)</f>
        <v>383800</v>
      </c>
      <c r="G14" s="9">
        <f>F14*(1)</f>
        <v>383800</v>
      </c>
      <c r="H14" s="9">
        <f>G14*(0.99)</f>
        <v>379962</v>
      </c>
      <c r="I14" s="9">
        <f>H14*(0.99)</f>
        <v>376162.38</v>
      </c>
      <c r="J14" s="9">
        <f>I14*(0.99)</f>
        <v>372400.7562</v>
      </c>
      <c r="L14" s="9">
        <f>D14*(0.97)</f>
        <v>368600</v>
      </c>
      <c r="M14" s="15">
        <f>L14*(0.97)</f>
        <v>357542</v>
      </c>
      <c r="N14" s="15">
        <f>M14*(0.97)</f>
        <v>346815.74</v>
      </c>
      <c r="P14" s="15">
        <f>D14*(1.05)</f>
        <v>399000</v>
      </c>
      <c r="Q14" s="15">
        <f>P14*(1.05)</f>
        <v>418950</v>
      </c>
      <c r="R14" s="15">
        <f>Q14*(1.05)</f>
        <v>439897.5</v>
      </c>
    </row>
    <row r="15" spans="1:18" x14ac:dyDescent="0.2">
      <c r="A15" t="s">
        <v>15</v>
      </c>
      <c r="B15" s="9">
        <v>196000</v>
      </c>
      <c r="C15" s="9">
        <v>425000</v>
      </c>
      <c r="D15" s="9">
        <v>327000</v>
      </c>
      <c r="F15" s="9">
        <f>D15*(1.04)</f>
        <v>340080</v>
      </c>
      <c r="G15" s="9">
        <f t="shared" ref="G15:J15" si="8">F15*(1.04)</f>
        <v>353683.20000000001</v>
      </c>
      <c r="H15" s="9">
        <f t="shared" si="8"/>
        <v>367830.52800000005</v>
      </c>
      <c r="I15" s="9">
        <f t="shared" si="8"/>
        <v>382543.74912000005</v>
      </c>
      <c r="J15" s="9">
        <f t="shared" si="8"/>
        <v>397845.49908480007</v>
      </c>
      <c r="L15" s="9">
        <f>D15*(1.02)</f>
        <v>333540</v>
      </c>
      <c r="M15" s="15">
        <f>L15*(1.02)</f>
        <v>340210.8</v>
      </c>
      <c r="N15" s="15">
        <f>M15*(1.02)</f>
        <v>347015.016</v>
      </c>
      <c r="P15" s="15">
        <f>D15*(1.06)</f>
        <v>346620</v>
      </c>
      <c r="Q15" s="15">
        <f>P15*(1.06)</f>
        <v>367417.2</v>
      </c>
      <c r="R15" s="15">
        <f>Q15*(1.06)</f>
        <v>389462.23200000002</v>
      </c>
    </row>
    <row r="16" spans="1:18" x14ac:dyDescent="0.2">
      <c r="A16" s="5" t="s">
        <v>16</v>
      </c>
      <c r="B16" s="10">
        <f>SUM(B12:B15)</f>
        <v>1408000</v>
      </c>
      <c r="C16" s="10">
        <f>SUM(C12:C15)</f>
        <v>2307000</v>
      </c>
      <c r="D16" s="10">
        <f>SUM(D12:D15)</f>
        <v>2830000</v>
      </c>
      <c r="F16" s="10">
        <f t="shared" ref="F16:H16" si="9">SUM(F12:F15)</f>
        <v>2945800</v>
      </c>
      <c r="G16" s="10">
        <f t="shared" si="9"/>
        <v>3153120.4000000004</v>
      </c>
      <c r="H16" s="10">
        <f t="shared" si="9"/>
        <v>3490806.9225000003</v>
      </c>
      <c r="I16" s="10">
        <f t="shared" ref="I16:J16" si="10">SUM(I12:I15)</f>
        <v>3855874.5442500003</v>
      </c>
      <c r="J16" s="10">
        <f t="shared" si="10"/>
        <v>4013815.0137825003</v>
      </c>
      <c r="L16" s="10">
        <f t="shared" ref="L16" si="11">SUM(L12:L15)</f>
        <v>2842641.5</v>
      </c>
      <c r="M16" s="10">
        <f t="shared" ref="M16" si="12">SUM(M12:M15)</f>
        <v>2772562.4539999999</v>
      </c>
      <c r="N16" s="10">
        <f t="shared" ref="N16" si="13">SUM(N12:N15)</f>
        <v>2796910.5985399997</v>
      </c>
      <c r="P16" s="10">
        <f t="shared" ref="P16" si="14">SUM(P12:P15)</f>
        <v>3165088.5</v>
      </c>
      <c r="Q16" s="10">
        <f t="shared" ref="Q16" si="15">SUM(Q12:Q15)</f>
        <v>3538677.9750000006</v>
      </c>
      <c r="R16" s="10">
        <f t="shared" ref="R16" si="16">SUM(R12:R15)</f>
        <v>3941824.9762499998</v>
      </c>
    </row>
    <row r="17" spans="1:18" x14ac:dyDescent="0.2">
      <c r="B17" s="9"/>
      <c r="C17" s="9"/>
      <c r="D17" s="21"/>
    </row>
    <row r="18" spans="1:18" x14ac:dyDescent="0.2">
      <c r="A18" s="12" t="s">
        <v>17</v>
      </c>
      <c r="B18" s="10">
        <f>181000</f>
        <v>181000</v>
      </c>
      <c r="C18" s="10">
        <v>271000</v>
      </c>
      <c r="D18" s="10">
        <v>298000</v>
      </c>
      <c r="F18" s="78">
        <f>D18</f>
        <v>298000</v>
      </c>
      <c r="G18" s="78">
        <f>F18</f>
        <v>298000</v>
      </c>
      <c r="H18" s="78">
        <f>G18</f>
        <v>298000</v>
      </c>
      <c r="I18" s="78">
        <f>H18</f>
        <v>298000</v>
      </c>
      <c r="J18" s="78">
        <f>I18</f>
        <v>298000</v>
      </c>
      <c r="K18" s="12"/>
      <c r="L18" s="78">
        <f>H18</f>
        <v>298000</v>
      </c>
      <c r="M18" s="78">
        <f>L18</f>
        <v>298000</v>
      </c>
      <c r="N18" s="78">
        <f>M18</f>
        <v>298000</v>
      </c>
      <c r="O18" s="12"/>
      <c r="P18" s="78">
        <f>N18</f>
        <v>298000</v>
      </c>
      <c r="Q18" s="78">
        <f>P18</f>
        <v>298000</v>
      </c>
      <c r="R18" s="78">
        <f>Q18</f>
        <v>298000</v>
      </c>
    </row>
    <row r="19" spans="1:18" x14ac:dyDescent="0.2">
      <c r="B19" s="13"/>
      <c r="C19" s="13"/>
      <c r="D19" s="13"/>
    </row>
    <row r="20" spans="1:18" x14ac:dyDescent="0.2">
      <c r="A20" s="5" t="s">
        <v>18</v>
      </c>
      <c r="B20" s="10">
        <f>B16+B9+B18</f>
        <v>3109000</v>
      </c>
      <c r="C20" s="10">
        <f>C16+C9+C18</f>
        <v>6564000</v>
      </c>
      <c r="D20" s="10">
        <f>D16+D9+D18</f>
        <v>7181000</v>
      </c>
      <c r="F20" s="10">
        <f>F16+F9+F18</f>
        <v>7398225</v>
      </c>
      <c r="G20" s="10">
        <f>G16+G9+G18</f>
        <v>7747948.3900000006</v>
      </c>
      <c r="H20" s="10">
        <f>H16+H9+H18</f>
        <v>8360343.1331000002</v>
      </c>
      <c r="I20" s="10">
        <f>I16+I9+I18</f>
        <v>8874880.5593079999</v>
      </c>
      <c r="J20" s="10">
        <f>J16+J9+J18</f>
        <v>9272954.9514570609</v>
      </c>
      <c r="L20" s="10">
        <f>L16+L9+L18</f>
        <v>6702761.5</v>
      </c>
      <c r="M20" s="10">
        <f>M16+M9+M18</f>
        <v>6682271.2540000007</v>
      </c>
      <c r="N20" s="10">
        <f>N16+N9+N18</f>
        <v>6757528.9665399995</v>
      </c>
      <c r="P20" s="10">
        <f>P16+P9+P18</f>
        <v>7944428.5</v>
      </c>
      <c r="Q20" s="10">
        <f>Q16+Q9+Q18</f>
        <v>8692856.375</v>
      </c>
      <c r="R20" s="10">
        <f>R16+R9+R18</f>
        <v>9506748.2542499993</v>
      </c>
    </row>
    <row r="21" spans="1:18" x14ac:dyDescent="0.2">
      <c r="B21" s="9"/>
      <c r="C21" s="21"/>
      <c r="D21" s="21"/>
    </row>
    <row r="23" spans="1:18" x14ac:dyDescent="0.2">
      <c r="A23" s="12" t="s">
        <v>96</v>
      </c>
    </row>
    <row r="25" spans="1:18" x14ac:dyDescent="0.2">
      <c r="A25" s="35" t="s">
        <v>93</v>
      </c>
      <c r="B25" s="52">
        <f t="shared" ref="B25:D28" si="17">B6/B$20</f>
        <v>0.42907687359279512</v>
      </c>
      <c r="C25" s="52">
        <f t="shared" si="17"/>
        <v>0.52254722730042658</v>
      </c>
      <c r="D25" s="53">
        <f t="shared" si="17"/>
        <v>0.46233115165018801</v>
      </c>
      <c r="F25" s="64">
        <f>F6/F$20</f>
        <v>0.45792402907454155</v>
      </c>
      <c r="G25" s="52">
        <f t="shared" ref="G25:H25" si="18">G6/G$20</f>
        <v>0.44211284427515396</v>
      </c>
      <c r="H25" s="52">
        <f t="shared" si="18"/>
        <v>0.43021450408654877</v>
      </c>
      <c r="I25" s="52">
        <f t="shared" ref="I25:J25" si="19">I6/I$20</f>
        <v>0.40916887811706448</v>
      </c>
      <c r="J25" s="53">
        <f t="shared" si="19"/>
        <v>0.41118404952130494</v>
      </c>
      <c r="L25" s="64">
        <f t="shared" ref="L25:N25" si="20">L6/L$20</f>
        <v>0.43216217673864721</v>
      </c>
      <c r="M25" s="52">
        <f t="shared" si="20"/>
        <v>0.43782221475201433</v>
      </c>
      <c r="N25" s="53">
        <f t="shared" si="20"/>
        <v>0.43727570871412397</v>
      </c>
      <c r="P25" s="64">
        <f t="shared" ref="P25:R25" si="21">P6/P$20</f>
        <v>0.45065796740445208</v>
      </c>
      <c r="Q25" s="52">
        <f t="shared" si="21"/>
        <v>0.44068775955130168</v>
      </c>
      <c r="R25" s="53">
        <f t="shared" si="21"/>
        <v>0.43116676368994433</v>
      </c>
    </row>
    <row r="26" spans="1:18" x14ac:dyDescent="0.2">
      <c r="A26" s="36" t="s">
        <v>94</v>
      </c>
      <c r="B26" s="22">
        <f t="shared" si="17"/>
        <v>2.8948214860083629E-2</v>
      </c>
      <c r="C26" s="22">
        <f t="shared" si="17"/>
        <v>5.271176112126752E-2</v>
      </c>
      <c r="D26" s="54">
        <f t="shared" si="17"/>
        <v>6.6843058069906702E-2</v>
      </c>
      <c r="F26" s="65">
        <f t="shared" ref="F26:H26" si="22">F7/F$20</f>
        <v>6.9422057317802585E-2</v>
      </c>
      <c r="G26" s="22">
        <f t="shared" si="22"/>
        <v>7.980957782296226E-2</v>
      </c>
      <c r="H26" s="22">
        <f t="shared" si="22"/>
        <v>8.6335611362922574E-2</v>
      </c>
      <c r="I26" s="22">
        <f t="shared" ref="I26:J26" si="23">I7/I$20</f>
        <v>9.427519475802823E-2</v>
      </c>
      <c r="J26" s="54">
        <f t="shared" si="23"/>
        <v>9.654406544541011E-2</v>
      </c>
      <c r="L26" s="65">
        <f t="shared" ref="L26:N26" si="24">L7/L$20</f>
        <v>6.1532847319720384E-2</v>
      </c>
      <c r="M26" s="22">
        <f t="shared" si="24"/>
        <v>6.4807605608762073E-2</v>
      </c>
      <c r="N26" s="54">
        <f t="shared" si="24"/>
        <v>6.72901444080415E-2</v>
      </c>
      <c r="P26" s="65">
        <f t="shared" ref="P26:R26" si="25">P7/P$20</f>
        <v>8.1581702195444264E-2</v>
      </c>
      <c r="Q26" s="22">
        <f t="shared" si="25"/>
        <v>8.8848011134890062E-2</v>
      </c>
      <c r="R26" s="54">
        <f t="shared" si="25"/>
        <v>9.6239994531356204E-2</v>
      </c>
    </row>
    <row r="27" spans="1:18" x14ac:dyDescent="0.2">
      <c r="A27" s="36" t="s">
        <v>95</v>
      </c>
      <c r="B27" s="22">
        <f t="shared" si="17"/>
        <v>3.087809585075587E-2</v>
      </c>
      <c r="C27" s="22">
        <f t="shared" si="17"/>
        <v>3.1992687385740404E-2</v>
      </c>
      <c r="D27" s="54">
        <f t="shared" si="17"/>
        <v>3.5231861857679986E-2</v>
      </c>
      <c r="F27" s="65">
        <f t="shared" ref="F27:H27" si="26">F8/F$20</f>
        <v>3.4197391941986087E-2</v>
      </c>
      <c r="G27" s="22">
        <f t="shared" si="26"/>
        <v>3.2653805532124873E-2</v>
      </c>
      <c r="H27" s="22">
        <f t="shared" si="26"/>
        <v>3.0261915805624123E-2</v>
      </c>
      <c r="I27" s="22">
        <f t="shared" ref="I27:J27" si="27">I8/I$20</f>
        <v>2.850742590948482E-2</v>
      </c>
      <c r="J27" s="54">
        <f t="shared" si="27"/>
        <v>2.7283643814127026E-2</v>
      </c>
      <c r="L27" s="65">
        <f t="shared" ref="L27:N27" si="28">L8/L$20</f>
        <v>3.7745636630514154E-2</v>
      </c>
      <c r="M27" s="22">
        <f t="shared" si="28"/>
        <v>3.7861378322311366E-2</v>
      </c>
      <c r="N27" s="54">
        <f t="shared" si="28"/>
        <v>3.7439721124797702E-2</v>
      </c>
      <c r="P27" s="65">
        <f t="shared" ref="P27:R27" si="29">P8/P$20</f>
        <v>3.1846217761290194E-2</v>
      </c>
      <c r="Q27" s="22">
        <f t="shared" si="29"/>
        <v>2.9104357542085815E-2</v>
      </c>
      <c r="R27" s="54">
        <f t="shared" si="29"/>
        <v>2.6612674831995909E-2</v>
      </c>
    </row>
    <row r="28" spans="1:18" x14ac:dyDescent="0.2">
      <c r="A28" s="55" t="s">
        <v>10</v>
      </c>
      <c r="B28" s="56">
        <f t="shared" si="17"/>
        <v>0.48890318430363461</v>
      </c>
      <c r="C28" s="56">
        <f t="shared" si="17"/>
        <v>0.60725167580743444</v>
      </c>
      <c r="D28" s="57">
        <f t="shared" si="17"/>
        <v>0.56440607157777467</v>
      </c>
      <c r="F28" s="66">
        <f t="shared" ref="F28:H28" si="30">F9/F$20</f>
        <v>0.56154347833433016</v>
      </c>
      <c r="G28" s="56">
        <f t="shared" si="30"/>
        <v>0.55457622763024106</v>
      </c>
      <c r="H28" s="56">
        <f t="shared" si="30"/>
        <v>0.54681203125509548</v>
      </c>
      <c r="I28" s="56">
        <f t="shared" ref="I28:J28" si="31">I9/I$20</f>
        <v>0.53195149878457759</v>
      </c>
      <c r="J28" s="57">
        <f t="shared" si="31"/>
        <v>0.53501175878084217</v>
      </c>
      <c r="L28" s="66">
        <f t="shared" ref="L28:N28" si="32">L9/L$20</f>
        <v>0.53144066068888174</v>
      </c>
      <c r="M28" s="56">
        <f t="shared" si="32"/>
        <v>0.5404911986830877</v>
      </c>
      <c r="N28" s="57">
        <f t="shared" si="32"/>
        <v>0.54200557424696316</v>
      </c>
      <c r="P28" s="66">
        <f t="shared" ref="P28:R28" si="33">P9/P$20</f>
        <v>0.56408588736118648</v>
      </c>
      <c r="Q28" s="56">
        <f t="shared" si="33"/>
        <v>0.55864012822827758</v>
      </c>
      <c r="R28" s="57">
        <f t="shared" si="33"/>
        <v>0.55401943305329637</v>
      </c>
    </row>
    <row r="29" spans="1:18" x14ac:dyDescent="0.2">
      <c r="B29" s="22"/>
      <c r="C29" s="22"/>
      <c r="D29" s="22"/>
    </row>
    <row r="30" spans="1:18" x14ac:dyDescent="0.2">
      <c r="B30" s="22"/>
      <c r="C30" s="22"/>
      <c r="D30" s="22"/>
    </row>
    <row r="31" spans="1:18" x14ac:dyDescent="0.2">
      <c r="A31" s="35" t="s">
        <v>12</v>
      </c>
      <c r="B31" s="52">
        <f t="shared" ref="B31:D35" si="34">B12/B$20</f>
        <v>0.22322290125442265</v>
      </c>
      <c r="C31" s="52">
        <f t="shared" si="34"/>
        <v>0.13863497867154173</v>
      </c>
      <c r="D31" s="53">
        <f t="shared" si="34"/>
        <v>0.1949589193705612</v>
      </c>
      <c r="F31" s="64">
        <f t="shared" ref="F31:H31" si="35">F12/F$20</f>
        <v>0.19869630891193496</v>
      </c>
      <c r="G31" s="52">
        <f t="shared" si="35"/>
        <v>0.21084812620957585</v>
      </c>
      <c r="H31" s="52">
        <f t="shared" si="35"/>
        <v>0.23082039717482947</v>
      </c>
      <c r="I31" s="52">
        <f t="shared" ref="I31:J31" si="36">I12/I$20</f>
        <v>0.25367785641788343</v>
      </c>
      <c r="J31" s="53">
        <f t="shared" si="36"/>
        <v>0.25492722896179448</v>
      </c>
      <c r="L31" s="64">
        <f t="shared" ref="L31:N31" si="37">L12/L$20</f>
        <v>0.20932290370170559</v>
      </c>
      <c r="M31" s="52">
        <f t="shared" si="37"/>
        <v>0.1979267832338133</v>
      </c>
      <c r="N31" s="53">
        <f t="shared" si="37"/>
        <v>0.19767972363187244</v>
      </c>
      <c r="P31" s="64">
        <f t="shared" ref="P31:R31" si="38">P12/P$20</f>
        <v>0.20808148754816036</v>
      </c>
      <c r="Q31" s="52">
        <f t="shared" si="38"/>
        <v>0.22316576868555477</v>
      </c>
      <c r="R31" s="53">
        <f t="shared" si="38"/>
        <v>0.23681711306950065</v>
      </c>
    </row>
    <row r="32" spans="1:18" x14ac:dyDescent="0.2">
      <c r="A32" s="36" t="s">
        <v>13</v>
      </c>
      <c r="B32" s="22">
        <f t="shared" si="34"/>
        <v>0.106465101318752</v>
      </c>
      <c r="C32" s="22">
        <f t="shared" si="34"/>
        <v>0.10755636806825107</v>
      </c>
      <c r="D32" s="54">
        <f t="shared" si="34"/>
        <v>0.10068235621779696</v>
      </c>
      <c r="F32" s="65">
        <f t="shared" ref="F32:H32" si="39">F13/F$20</f>
        <v>0.10163518952181097</v>
      </c>
      <c r="G32" s="22">
        <f t="shared" si="39"/>
        <v>0.10092953135946224</v>
      </c>
      <c r="H32" s="22">
        <f t="shared" si="39"/>
        <v>9.7277905829020503E-2</v>
      </c>
      <c r="I32" s="22">
        <f t="shared" ref="I32:J32" si="40">I13/I$20</f>
        <v>9.5303563042650141E-2</v>
      </c>
      <c r="J32" s="54">
        <f t="shared" si="40"/>
        <v>9.4860813304930611E-2</v>
      </c>
      <c r="L32" s="65">
        <f t="shared" ref="L32:N32" si="41">L13/L$20</f>
        <v>0.11002330904956115</v>
      </c>
      <c r="M32" s="22">
        <f t="shared" si="41"/>
        <v>0.11256789367084259</v>
      </c>
      <c r="N32" s="54">
        <f t="shared" si="41"/>
        <v>0.11354052462062184</v>
      </c>
      <c r="P32" s="65">
        <f t="shared" ref="P32:R32" si="42">P13/P$20</f>
        <v>9.6467606197223624E-2</v>
      </c>
      <c r="Q32" s="22">
        <f t="shared" si="42"/>
        <v>9.3451768320513634E-2</v>
      </c>
      <c r="R32" s="54">
        <f t="shared" si="42"/>
        <v>9.0578244523835227E-2</v>
      </c>
    </row>
    <row r="33" spans="1:18" x14ac:dyDescent="0.2">
      <c r="A33" s="36" t="s">
        <v>14</v>
      </c>
      <c r="B33" s="22">
        <f t="shared" si="34"/>
        <v>6.0147957542618202E-2</v>
      </c>
      <c r="C33" s="22">
        <f t="shared" si="34"/>
        <v>4.0524070688604509E-2</v>
      </c>
      <c r="D33" s="54">
        <f t="shared" si="34"/>
        <v>5.2917420972009473E-2</v>
      </c>
      <c r="F33" s="65">
        <f t="shared" ref="F33:H33" si="43">F14/F$20</f>
        <v>5.187730840843581E-2</v>
      </c>
      <c r="G33" s="22">
        <f t="shared" si="43"/>
        <v>4.9535693925808401E-2</v>
      </c>
      <c r="H33" s="22">
        <f t="shared" si="43"/>
        <v>4.5448134598168197E-2</v>
      </c>
      <c r="I33" s="22">
        <f t="shared" ref="I33:J33" si="44">I14/I$20</f>
        <v>4.2385063943816102E-2</v>
      </c>
      <c r="J33" s="54">
        <f t="shared" si="44"/>
        <v>4.0159879795542912E-2</v>
      </c>
      <c r="L33" s="65">
        <f t="shared" ref="L33:N33" si="45">L14/L$20</f>
        <v>5.4992259533626547E-2</v>
      </c>
      <c r="M33" s="22">
        <f t="shared" si="45"/>
        <v>5.3506059004410474E-2</v>
      </c>
      <c r="N33" s="54">
        <f t="shared" si="45"/>
        <v>5.1322863981384768E-2</v>
      </c>
      <c r="P33" s="65">
        <f t="shared" ref="P33:R33" si="46">P14/P$20</f>
        <v>5.0223877022746194E-2</v>
      </c>
      <c r="Q33" s="22">
        <f t="shared" si="46"/>
        <v>4.8194745423940123E-2</v>
      </c>
      <c r="R33" s="54">
        <f t="shared" si="46"/>
        <v>4.6272130936394942E-2</v>
      </c>
    </row>
    <row r="34" spans="1:18" x14ac:dyDescent="0.2">
      <c r="A34" s="36" t="s">
        <v>15</v>
      </c>
      <c r="B34" s="22">
        <f t="shared" si="34"/>
        <v>6.3042779028626567E-2</v>
      </c>
      <c r="C34" s="22">
        <f t="shared" si="34"/>
        <v>6.4747105423522244E-2</v>
      </c>
      <c r="D34" s="54">
        <f t="shared" si="34"/>
        <v>4.5536833310123939E-2</v>
      </c>
      <c r="F34" s="65">
        <f t="shared" ref="F34:H34" si="47">F15/F$20</f>
        <v>4.5967782812769281E-2</v>
      </c>
      <c r="G34" s="22">
        <f t="shared" si="47"/>
        <v>4.5648626216520265E-2</v>
      </c>
      <c r="H34" s="22">
        <f t="shared" si="47"/>
        <v>4.3997061142586037E-2</v>
      </c>
      <c r="I34" s="22">
        <f t="shared" ref="I34:J34" si="48">I15/I$20</f>
        <v>4.3104101127173715E-2</v>
      </c>
      <c r="J34" s="54">
        <f t="shared" si="48"/>
        <v>4.2903853320487288E-2</v>
      </c>
      <c r="L34" s="65">
        <f t="shared" ref="L34:N34" si="49">L15/L$20</f>
        <v>4.9761579611627235E-2</v>
      </c>
      <c r="M34" s="22">
        <f t="shared" si="49"/>
        <v>5.0912449834530464E-2</v>
      </c>
      <c r="N34" s="54">
        <f t="shared" si="49"/>
        <v>5.1352353459119419E-2</v>
      </c>
      <c r="P34" s="65">
        <f t="shared" ref="P34:R34" si="50">P15/P$20</f>
        <v>4.3630577076752594E-2</v>
      </c>
      <c r="Q34" s="22">
        <f t="shared" si="50"/>
        <v>4.2266567414672142E-2</v>
      </c>
      <c r="R34" s="54">
        <f t="shared" si="50"/>
        <v>4.0966923871776098E-2</v>
      </c>
    </row>
    <row r="35" spans="1:18" x14ac:dyDescent="0.2">
      <c r="A35" s="55" t="s">
        <v>16</v>
      </c>
      <c r="B35" s="56">
        <f t="shared" si="34"/>
        <v>0.45287873914441945</v>
      </c>
      <c r="C35" s="56">
        <f t="shared" si="34"/>
        <v>0.35146252285191953</v>
      </c>
      <c r="D35" s="57">
        <f t="shared" si="34"/>
        <v>0.39409552987049157</v>
      </c>
      <c r="F35" s="66">
        <f t="shared" ref="F35:H35" si="51">F16/F$20</f>
        <v>0.39817658965495101</v>
      </c>
      <c r="G35" s="56">
        <f t="shared" si="51"/>
        <v>0.40696197771136677</v>
      </c>
      <c r="H35" s="56">
        <f t="shared" si="51"/>
        <v>0.41754349874460422</v>
      </c>
      <c r="I35" s="56">
        <f t="shared" ref="I35:J35" si="52">I16/I$20</f>
        <v>0.43447058453152343</v>
      </c>
      <c r="J35" s="57">
        <f t="shared" si="52"/>
        <v>0.43285177538275532</v>
      </c>
      <c r="L35" s="66">
        <f t="shared" ref="L35:N35" si="53">L16/L$20</f>
        <v>0.42410005189652056</v>
      </c>
      <c r="M35" s="56">
        <f t="shared" si="53"/>
        <v>0.41491318574359681</v>
      </c>
      <c r="N35" s="57">
        <f t="shared" si="53"/>
        <v>0.41389546569299845</v>
      </c>
      <c r="P35" s="66">
        <f t="shared" ref="P35:R35" si="54">P16/P$20</f>
        <v>0.39840354784488274</v>
      </c>
      <c r="Q35" s="56">
        <f t="shared" si="54"/>
        <v>0.40707884984468073</v>
      </c>
      <c r="R35" s="57">
        <f t="shared" si="54"/>
        <v>0.41463441240150689</v>
      </c>
    </row>
    <row r="36" spans="1:18" x14ac:dyDescent="0.2">
      <c r="B36" s="22"/>
      <c r="C36" s="22"/>
      <c r="D36" s="22"/>
    </row>
    <row r="37" spans="1:18" x14ac:dyDescent="0.2">
      <c r="A37" s="12" t="s">
        <v>17</v>
      </c>
      <c r="B37" s="51">
        <f>B18/B$20</f>
        <v>5.8218076551945962E-2</v>
      </c>
      <c r="C37" s="51">
        <f>C18/C$20</f>
        <v>4.1285801340645946E-2</v>
      </c>
      <c r="D37" s="51">
        <f>D18/D$20</f>
        <v>4.1498398551733741E-2</v>
      </c>
      <c r="F37" s="51">
        <f>F18/F$20</f>
        <v>4.0279932010718784E-2</v>
      </c>
      <c r="G37" s="51">
        <f>G18/G$20</f>
        <v>3.846179465839214E-2</v>
      </c>
      <c r="H37" s="51">
        <f>H18/H$20</f>
        <v>3.5644470000300348E-2</v>
      </c>
      <c r="I37" s="51">
        <f>I18/I$20</f>
        <v>3.3577916683899117E-2</v>
      </c>
      <c r="J37" s="51">
        <f>J18/J$20</f>
        <v>3.2136465836402582E-2</v>
      </c>
      <c r="L37" s="51">
        <f>L18/L$20</f>
        <v>4.4459287414597697E-2</v>
      </c>
      <c r="M37" s="51">
        <f>M18/M$20</f>
        <v>4.4595615573315359E-2</v>
      </c>
      <c r="N37" s="51">
        <f>N18/N$20</f>
        <v>4.4098960060038397E-2</v>
      </c>
      <c r="P37" s="51">
        <f>P18/P$20</f>
        <v>3.7510564793930737E-2</v>
      </c>
      <c r="Q37" s="51">
        <f>Q18/Q$20</f>
        <v>3.4281021927041792E-2</v>
      </c>
      <c r="R37" s="51">
        <f>R18/R$20</f>
        <v>3.1346154545196764E-2</v>
      </c>
    </row>
    <row r="40" spans="1:18" x14ac:dyDescent="0.2">
      <c r="A40" s="35" t="s">
        <v>12</v>
      </c>
      <c r="B40" s="45">
        <f>B31/$B$35</f>
        <v>0.49289772727272724</v>
      </c>
      <c r="C40" s="45">
        <f>C31/$C$35</f>
        <v>0.39445166883398353</v>
      </c>
      <c r="D40" s="58">
        <f>D31/$D$35</f>
        <v>0.49469964664310956</v>
      </c>
      <c r="F40" s="64">
        <f>F31/$B$35</f>
        <v>0.4387406423346632</v>
      </c>
      <c r="G40" s="52">
        <f>G31/$C$35</f>
        <v>0.59991638510604939</v>
      </c>
      <c r="H40" s="52">
        <f>H31/$D$35</f>
        <v>0.58569656258390479</v>
      </c>
      <c r="I40" s="52">
        <f>I31/$D$35</f>
        <v>0.64369635580806395</v>
      </c>
      <c r="J40" s="53">
        <f>J31/$D$35</f>
        <v>0.64686658345393855</v>
      </c>
      <c r="L40" s="64">
        <f>L31/$B$35</f>
        <v>0.46220519006292798</v>
      </c>
      <c r="M40" s="52">
        <f>M31/$C$35</f>
        <v>0.56315188779659753</v>
      </c>
      <c r="N40" s="53">
        <f>N31/$D$35</f>
        <v>0.50160356727932021</v>
      </c>
      <c r="P40" s="64">
        <f>P31/$B$35</f>
        <v>0.4594640232863853</v>
      </c>
      <c r="Q40" s="52">
        <f>Q31/$C$35</f>
        <v>0.63496320140961493</v>
      </c>
      <c r="R40" s="53">
        <f>R31/$D$35</f>
        <v>0.60091296429402263</v>
      </c>
    </row>
    <row r="41" spans="1:18" x14ac:dyDescent="0.2">
      <c r="A41" s="36" t="s">
        <v>13</v>
      </c>
      <c r="B41" s="59">
        <f>B32/$B$35</f>
        <v>0.23508522727272724</v>
      </c>
      <c r="C41" s="59">
        <f>C32/$C$35</f>
        <v>0.30602514087559607</v>
      </c>
      <c r="D41" s="60">
        <f>D32/$D$35</f>
        <v>0.25547703180212011</v>
      </c>
      <c r="F41" s="65">
        <f>F32/$B$35</f>
        <v>0.22442031549951014</v>
      </c>
      <c r="G41" s="22">
        <f>G32/$C$35</f>
        <v>0.28717011003186399</v>
      </c>
      <c r="H41" s="22">
        <f>H32/$D$35</f>
        <v>0.24683838931385027</v>
      </c>
      <c r="I41" s="22">
        <f>I32/$D$35</f>
        <v>0.24182858169938892</v>
      </c>
      <c r="J41" s="54">
        <f>J32/$D$35</f>
        <v>0.24070512379600945</v>
      </c>
      <c r="L41" s="65">
        <f>L32/$B$35</f>
        <v>0.24294209363287328</v>
      </c>
      <c r="M41" s="22">
        <f>M32/$C$35</f>
        <v>0.3202842020179501</v>
      </c>
      <c r="N41" s="54">
        <f>N32/$D$35</f>
        <v>0.28810406618398776</v>
      </c>
      <c r="P41" s="65">
        <f>P32/$B$35</f>
        <v>0.21300979237725015</v>
      </c>
      <c r="Q41" s="22">
        <f>Q32/$C$35</f>
        <v>0.26589397800427028</v>
      </c>
      <c r="R41" s="54">
        <f>R32/$D$35</f>
        <v>0.22983829467337838</v>
      </c>
    </row>
    <row r="42" spans="1:18" x14ac:dyDescent="0.2">
      <c r="A42" s="36" t="s">
        <v>14</v>
      </c>
      <c r="B42" s="59">
        <f>B33/$B$35</f>
        <v>0.1328125</v>
      </c>
      <c r="C42" s="59">
        <f>C33/$C$35</f>
        <v>0.1153012570437798</v>
      </c>
      <c r="D42" s="60">
        <f>D33/$D$35</f>
        <v>0.13427561837455831</v>
      </c>
      <c r="F42" s="65">
        <f>F33/$B$35</f>
        <v>0.11455010784220662</v>
      </c>
      <c r="G42" s="22">
        <f>G33/$C$35</f>
        <v>0.14094161028565513</v>
      </c>
      <c r="H42" s="22">
        <f>H33/$D$35</f>
        <v>0.11532263411641196</v>
      </c>
      <c r="I42" s="22">
        <f>I33/$D$35</f>
        <v>0.10755022762563372</v>
      </c>
      <c r="J42" s="54">
        <f>J33/$D$35</f>
        <v>0.10190392113490943</v>
      </c>
      <c r="L42" s="65">
        <f>L33/$B$35</f>
        <v>0.12142822080258872</v>
      </c>
      <c r="M42" s="22">
        <f>M33/$C$35</f>
        <v>0.15223830572386232</v>
      </c>
      <c r="N42" s="54">
        <f>N33/$D$35</f>
        <v>0.13022950044181061</v>
      </c>
      <c r="P42" s="65">
        <f>P33/$B$35</f>
        <v>0.11089917163616329</v>
      </c>
      <c r="Q42" s="22">
        <f>Q33/$C$35</f>
        <v>0.13712627176538492</v>
      </c>
      <c r="R42" s="54">
        <f>R33/$D$35</f>
        <v>0.11741348842906434</v>
      </c>
    </row>
    <row r="43" spans="1:18" x14ac:dyDescent="0.2">
      <c r="A43" s="37" t="s">
        <v>15</v>
      </c>
      <c r="B43" s="61">
        <f>B34/$B$35</f>
        <v>0.13920454545454544</v>
      </c>
      <c r="C43" s="61">
        <f>C34/$C$35</f>
        <v>0.18422193324664068</v>
      </c>
      <c r="D43" s="62">
        <f>D34/$D$35</f>
        <v>0.11554770318021201</v>
      </c>
      <c r="F43" s="66">
        <f>F34/$B$35</f>
        <v>0.10150130452052535</v>
      </c>
      <c r="G43" s="56">
        <f>G34/$C$35</f>
        <v>0.12988191698536586</v>
      </c>
      <c r="H43" s="56">
        <f>H34/$D$35</f>
        <v>0.11164059931622274</v>
      </c>
      <c r="I43" s="56">
        <f>I34/$D$35</f>
        <v>0.10937475271881077</v>
      </c>
      <c r="J43" s="57">
        <f>J34/$D$35</f>
        <v>0.10886663275421174</v>
      </c>
      <c r="L43" s="66">
        <f>L34/$B$35</f>
        <v>0.10987837429868541</v>
      </c>
      <c r="M43" s="56">
        <f>M34/$C$35</f>
        <v>0.14485882995832597</v>
      </c>
      <c r="N43" s="57">
        <f>N34/$D$35</f>
        <v>0.13030432868902353</v>
      </c>
      <c r="P43" s="66">
        <f>P34/$B$35</f>
        <v>9.6340528502573727E-2</v>
      </c>
      <c r="Q43" s="56">
        <f>Q34/$C$35</f>
        <v>0.12025910208491893</v>
      </c>
      <c r="R43" s="57">
        <f>R34/$D$35</f>
        <v>0.10395175983152798</v>
      </c>
    </row>
    <row r="46" spans="1:18" x14ac:dyDescent="0.2">
      <c r="A46" s="12" t="s">
        <v>97</v>
      </c>
    </row>
    <row r="48" spans="1:18" x14ac:dyDescent="0.2">
      <c r="A48" s="35" t="s">
        <v>98</v>
      </c>
      <c r="B48" s="73">
        <v>75000000</v>
      </c>
      <c r="C48" s="73">
        <v>224000000</v>
      </c>
      <c r="D48" s="74">
        <v>239000000</v>
      </c>
      <c r="E48" s="67"/>
      <c r="F48" s="76">
        <f>D48*1.05</f>
        <v>250950000</v>
      </c>
      <c r="G48" s="73">
        <f>F48*1.05</f>
        <v>263497500</v>
      </c>
      <c r="H48" s="73">
        <f>G48*1.05</f>
        <v>276672375</v>
      </c>
      <c r="I48" s="73">
        <f>H48*1.05</f>
        <v>290505993.75</v>
      </c>
      <c r="J48" s="74">
        <f>I48*1.05</f>
        <v>305031293.4375</v>
      </c>
      <c r="K48" s="67"/>
      <c r="L48" s="76">
        <f>D48*1.01</f>
        <v>241390000</v>
      </c>
      <c r="M48" s="73">
        <f>L48*1.01</f>
        <v>243803900</v>
      </c>
      <c r="N48" s="74">
        <f>M48*1.01</f>
        <v>246241939</v>
      </c>
      <c r="O48" s="67"/>
      <c r="P48" s="76">
        <f>D48*1.07</f>
        <v>255730000</v>
      </c>
      <c r="Q48" s="73">
        <f>P48*1.07</f>
        <v>273631100</v>
      </c>
      <c r="R48" s="74">
        <f>Q48*1.07</f>
        <v>292785277</v>
      </c>
    </row>
    <row r="49" spans="1:18" x14ac:dyDescent="0.2">
      <c r="A49" s="80" t="s">
        <v>99</v>
      </c>
      <c r="B49" s="21">
        <f>B6/B48</f>
        <v>1.7786666666666666E-2</v>
      </c>
      <c r="C49" s="21">
        <f>C6/C48</f>
        <v>1.53125E-2</v>
      </c>
      <c r="D49" s="68">
        <f>D6/D48</f>
        <v>1.3891213389121339E-2</v>
      </c>
      <c r="E49" s="30"/>
      <c r="F49" s="69">
        <v>1.35E-2</v>
      </c>
      <c r="G49" s="21">
        <v>1.2999999999999999E-2</v>
      </c>
      <c r="H49" s="21">
        <v>1.2999999999999999E-2</v>
      </c>
      <c r="I49" s="21">
        <v>1.2500000000000001E-2</v>
      </c>
      <c r="J49" s="68">
        <v>1.2500000000000001E-2</v>
      </c>
      <c r="K49" s="30"/>
      <c r="L49" s="69">
        <v>1.2E-2</v>
      </c>
      <c r="M49" s="21">
        <f>L49</f>
        <v>1.2E-2</v>
      </c>
      <c r="N49" s="68">
        <f>M49</f>
        <v>1.2E-2</v>
      </c>
      <c r="O49" s="30"/>
      <c r="P49" s="69">
        <v>1.4E-2</v>
      </c>
      <c r="Q49" s="21">
        <f>P49</f>
        <v>1.4E-2</v>
      </c>
      <c r="R49" s="68">
        <f>Q49</f>
        <v>1.4E-2</v>
      </c>
    </row>
    <row r="50" spans="1:18" x14ac:dyDescent="0.2">
      <c r="A50" s="36" t="s">
        <v>100</v>
      </c>
      <c r="B50" s="67">
        <v>393000000</v>
      </c>
      <c r="C50" s="67">
        <v>965000000</v>
      </c>
      <c r="D50" s="75">
        <v>982000000</v>
      </c>
      <c r="E50" s="67"/>
      <c r="F50" s="77">
        <f>D50*(1.07)</f>
        <v>1050740000.0000001</v>
      </c>
      <c r="G50" s="67">
        <f>F50*(1.07)</f>
        <v>1124291800.0000002</v>
      </c>
      <c r="H50" s="67">
        <f>G50*(1.07)</f>
        <v>1202992226.0000002</v>
      </c>
      <c r="I50" s="67">
        <f>H50*(1.07)</f>
        <v>1287201681.8200004</v>
      </c>
      <c r="J50" s="75">
        <f>I50*(1.07)</f>
        <v>1377305799.5474005</v>
      </c>
      <c r="K50" s="67"/>
      <c r="L50" s="77">
        <f>D50*(1.05)</f>
        <v>1031100000</v>
      </c>
      <c r="M50" s="67">
        <f>L50*(1.05)</f>
        <v>1082655000</v>
      </c>
      <c r="N50" s="75">
        <f>M50*(1.05)</f>
        <v>1136787750</v>
      </c>
      <c r="O50" s="67"/>
      <c r="P50" s="77">
        <f>D50*(1.1)</f>
        <v>1080200000</v>
      </c>
      <c r="Q50" s="67">
        <f>P50*(1.1)</f>
        <v>1188220000</v>
      </c>
      <c r="R50" s="75">
        <f>Q50*(1.1)</f>
        <v>1307042000</v>
      </c>
    </row>
    <row r="51" spans="1:18" x14ac:dyDescent="0.2">
      <c r="A51" s="79" t="s">
        <v>99</v>
      </c>
      <c r="B51" s="70">
        <f>B7/B50</f>
        <v>2.2900763358778625E-4</v>
      </c>
      <c r="C51" s="70">
        <f>C7/C50</f>
        <v>3.5854922279792746E-4</v>
      </c>
      <c r="D51" s="71">
        <f>D7/D50</f>
        <v>4.8879837067209776E-4</v>
      </c>
      <c r="E51" s="30"/>
      <c r="F51" s="72">
        <f>D51</f>
        <v>4.8879837067209776E-4</v>
      </c>
      <c r="G51" s="70">
        <v>5.5000000000000003E-4</v>
      </c>
      <c r="H51" s="70">
        <v>5.9999999999999995E-4</v>
      </c>
      <c r="I51" s="70">
        <v>6.4999999999999997E-4</v>
      </c>
      <c r="J51" s="71">
        <v>6.4999999999999997E-4</v>
      </c>
      <c r="K51" s="30"/>
      <c r="L51" s="72">
        <v>4.0000000000000002E-4</v>
      </c>
      <c r="M51" s="70">
        <f>L51</f>
        <v>4.0000000000000002E-4</v>
      </c>
      <c r="N51" s="71">
        <f>M51</f>
        <v>4.0000000000000002E-4</v>
      </c>
      <c r="O51" s="30"/>
      <c r="P51" s="72">
        <v>5.9999999999999995E-4</v>
      </c>
      <c r="Q51" s="70">
        <v>6.4999999999999997E-4</v>
      </c>
      <c r="R51" s="71">
        <v>6.9999999999999999E-4</v>
      </c>
    </row>
    <row r="54" spans="1:18" x14ac:dyDescent="0.2">
      <c r="A54" s="35" t="s">
        <v>127</v>
      </c>
      <c r="B54" s="81">
        <v>2367276000</v>
      </c>
      <c r="C54" s="81">
        <v>6091000000</v>
      </c>
      <c r="D54" s="82">
        <v>9261000000</v>
      </c>
      <c r="F54" s="76">
        <f>D54*(1.05)</f>
        <v>9724050000</v>
      </c>
      <c r="G54" s="73">
        <f>F54*1.05</f>
        <v>10210252500</v>
      </c>
      <c r="H54" s="73">
        <f>G54*1.05</f>
        <v>10720765125</v>
      </c>
      <c r="I54" s="73">
        <f>H54*1.05</f>
        <v>11256803381.25</v>
      </c>
      <c r="J54" s="74">
        <f>I54*1.05</f>
        <v>11819643550.3125</v>
      </c>
      <c r="L54" s="76">
        <f>D54*(1.01)</f>
        <v>9353610000</v>
      </c>
      <c r="M54" s="73">
        <f>L54*(1.01)</f>
        <v>9447146100</v>
      </c>
      <c r="N54" s="74">
        <f>M54*(1.01)</f>
        <v>9541617561</v>
      </c>
      <c r="P54" s="76">
        <f>D54*(1.05)</f>
        <v>9724050000</v>
      </c>
      <c r="Q54" s="73">
        <f>P54*(1.05)</f>
        <v>10210252500</v>
      </c>
      <c r="R54" s="74">
        <f>Q54*(1.05)</f>
        <v>10720765125</v>
      </c>
    </row>
    <row r="55" spans="1:18" x14ac:dyDescent="0.2">
      <c r="A55" s="37" t="s">
        <v>128</v>
      </c>
      <c r="B55" s="83">
        <f>B12/B54</f>
        <v>2.9316395722340784E-4</v>
      </c>
      <c r="C55" s="83">
        <f>C12/C54</f>
        <v>1.4940075521260876E-4</v>
      </c>
      <c r="D55" s="84">
        <f>D12/D54</f>
        <v>1.5117157974300831E-4</v>
      </c>
      <c r="F55" s="85">
        <f>D55</f>
        <v>1.5117157974300831E-4</v>
      </c>
      <c r="G55" s="87">
        <v>1.6000000000000001E-4</v>
      </c>
      <c r="H55" s="87">
        <v>1.8000000000000001E-4</v>
      </c>
      <c r="I55" s="87">
        <v>2.0000000000000001E-4</v>
      </c>
      <c r="J55" s="88">
        <v>2.0000000000000001E-4</v>
      </c>
      <c r="L55" s="85">
        <v>1.4999999999999999E-4</v>
      </c>
      <c r="M55" s="87">
        <v>1.3999999999999999E-4</v>
      </c>
      <c r="N55" s="88">
        <v>1.3999999999999999E-4</v>
      </c>
      <c r="P55" s="85">
        <v>1.7000000000000001E-4</v>
      </c>
      <c r="Q55" s="87">
        <v>1.9000000000000001E-4</v>
      </c>
      <c r="R55" s="88">
        <v>2.1000000000000001E-4</v>
      </c>
    </row>
  </sheetData>
  <mergeCells count="7">
    <mergeCell ref="B3:D3"/>
    <mergeCell ref="L2:N2"/>
    <mergeCell ref="L3:N3"/>
    <mergeCell ref="P2:R2"/>
    <mergeCell ref="P3:R3"/>
    <mergeCell ref="F3:J3"/>
    <mergeCell ref="F2:J2"/>
  </mergeCells>
  <pageMargins left="0.75" right="0.75" top="1" bottom="1" header="0.5" footer="0.5"/>
  <pageSetup paperSize="9" orientation="portrait" horizontalDpi="0" verticalDpi="0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R32"/>
  <sheetViews>
    <sheetView showGridLines="0" workbookViewId="0">
      <selection activeCell="I32" sqref="I32"/>
    </sheetView>
  </sheetViews>
  <sheetFormatPr baseColWidth="10" defaultRowHeight="15" x14ac:dyDescent="0.2"/>
  <cols>
    <col min="2" max="2" width="31.5" bestFit="1" customWidth="1"/>
    <col min="3" max="6" width="12.6640625" bestFit="1" customWidth="1"/>
    <col min="11" max="11" width="1.6640625" customWidth="1"/>
    <col min="12" max="14" width="12.6640625" bestFit="1" customWidth="1"/>
    <col min="15" max="15" width="2" customWidth="1"/>
    <col min="16" max="18" width="11.6640625" bestFit="1" customWidth="1"/>
  </cols>
  <sheetData>
    <row r="1" spans="2:18" x14ac:dyDescent="0.2">
      <c r="F1" s="107" t="s">
        <v>101</v>
      </c>
      <c r="G1" s="108"/>
      <c r="H1" s="108"/>
      <c r="I1" s="108"/>
      <c r="J1" s="109"/>
      <c r="L1" s="92" t="s">
        <v>102</v>
      </c>
      <c r="M1" s="94"/>
      <c r="N1" s="95"/>
      <c r="P1" s="92" t="s">
        <v>103</v>
      </c>
      <c r="Q1" s="94"/>
      <c r="R1" s="95"/>
    </row>
    <row r="2" spans="2:18" x14ac:dyDescent="0.2">
      <c r="C2" s="93" t="s">
        <v>104</v>
      </c>
      <c r="D2" s="94"/>
      <c r="E2" s="95"/>
      <c r="F2" s="107" t="s">
        <v>105</v>
      </c>
      <c r="G2" s="108"/>
      <c r="H2" s="108"/>
      <c r="I2" s="108"/>
      <c r="J2" s="109"/>
      <c r="L2" s="92" t="s">
        <v>105</v>
      </c>
      <c r="M2" s="94"/>
      <c r="N2" s="95"/>
      <c r="P2" s="92" t="s">
        <v>105</v>
      </c>
      <c r="Q2" s="94"/>
      <c r="R2" s="95"/>
    </row>
    <row r="3" spans="2:18" x14ac:dyDescent="0.2">
      <c r="B3" t="s">
        <v>106</v>
      </c>
      <c r="C3" s="32">
        <v>2023</v>
      </c>
      <c r="D3" s="32">
        <v>2024</v>
      </c>
      <c r="E3" s="32">
        <v>2025</v>
      </c>
      <c r="F3" s="32">
        <v>2026</v>
      </c>
      <c r="G3" s="32">
        <v>2027</v>
      </c>
      <c r="H3" s="32">
        <v>2028</v>
      </c>
      <c r="I3" s="32">
        <v>2029</v>
      </c>
      <c r="J3" s="32">
        <v>2030</v>
      </c>
      <c r="L3" s="32">
        <v>2026</v>
      </c>
      <c r="M3" s="32">
        <v>2027</v>
      </c>
      <c r="N3" s="32">
        <v>2028</v>
      </c>
      <c r="P3" s="32">
        <v>2026</v>
      </c>
      <c r="Q3" s="32">
        <v>2027</v>
      </c>
      <c r="R3" s="32">
        <v>2028</v>
      </c>
    </row>
    <row r="4" spans="2:18" x14ac:dyDescent="0.2">
      <c r="B4" t="str">
        <f>IS!A6</f>
        <v xml:space="preserve">  Transaction revenue - consumer, net</v>
      </c>
      <c r="C4" s="9">
        <f>IS!B6</f>
        <v>1334000</v>
      </c>
      <c r="D4" s="9">
        <f>IS!C6</f>
        <v>3430000</v>
      </c>
      <c r="E4" s="9">
        <f>IS!D6</f>
        <v>3320000</v>
      </c>
      <c r="F4" s="9">
        <f>Metrics!F6</f>
        <v>3387825</v>
      </c>
      <c r="G4" s="9">
        <f>Metrics!G6</f>
        <v>3425467.5</v>
      </c>
      <c r="H4" s="9">
        <f>Metrics!H6</f>
        <v>3596740.875</v>
      </c>
      <c r="I4" s="9">
        <f>Metrics!I6</f>
        <v>3631324.921875</v>
      </c>
      <c r="J4" s="9">
        <f>Metrics!J6</f>
        <v>3812891.16796875</v>
      </c>
      <c r="L4" s="15">
        <f>Metrics!L6</f>
        <v>2896680</v>
      </c>
      <c r="M4" s="15">
        <f>Metrics!M6</f>
        <v>2925646.8000000003</v>
      </c>
      <c r="N4" s="15">
        <f>Metrics!N6</f>
        <v>2954903.2680000002</v>
      </c>
      <c r="O4" s="15"/>
      <c r="P4" s="15">
        <f>Metrics!P6</f>
        <v>3580220</v>
      </c>
      <c r="Q4" s="15">
        <f>Metrics!Q6</f>
        <v>3830835.4</v>
      </c>
      <c r="R4" s="15">
        <f>Metrics!R6</f>
        <v>4098993.878</v>
      </c>
    </row>
    <row r="5" spans="2:18" x14ac:dyDescent="0.2">
      <c r="B5" t="str">
        <f>IS!A7</f>
        <v xml:space="preserve">  Transaction revenue - institutional, net</v>
      </c>
      <c r="C5" s="9">
        <f>IS!B7</f>
        <v>90000</v>
      </c>
      <c r="D5" s="9">
        <f>IS!C7</f>
        <v>346000</v>
      </c>
      <c r="E5" s="9">
        <f>IS!D7</f>
        <v>480000</v>
      </c>
      <c r="F5" s="9">
        <f>Metrics!F7</f>
        <v>513600.00000000006</v>
      </c>
      <c r="G5" s="9">
        <f>Metrics!G7</f>
        <v>618360.49000000022</v>
      </c>
      <c r="H5" s="9">
        <f>Metrics!H7</f>
        <v>721795.33560000011</v>
      </c>
      <c r="I5" s="9">
        <f>Metrics!I7</f>
        <v>836681.09318300022</v>
      </c>
      <c r="J5" s="9">
        <f>Metrics!J7</f>
        <v>895248.76970581023</v>
      </c>
      <c r="L5" s="15">
        <f>Metrics!L7</f>
        <v>412440</v>
      </c>
      <c r="M5" s="15">
        <f>Metrics!M7</f>
        <v>433062</v>
      </c>
      <c r="N5" s="15">
        <f>Metrics!N7</f>
        <v>454715.10000000003</v>
      </c>
      <c r="P5" s="15">
        <f>Metrics!P7</f>
        <v>648120</v>
      </c>
      <c r="Q5" s="15">
        <f>Metrics!Q7</f>
        <v>772343</v>
      </c>
      <c r="R5" s="15">
        <f>Metrics!R7</f>
        <v>914929.4</v>
      </c>
    </row>
    <row r="6" spans="2:18" x14ac:dyDescent="0.2">
      <c r="B6" t="str">
        <f>IS!A8</f>
        <v xml:space="preserve">  Transaction revenue - other, net</v>
      </c>
      <c r="C6" s="9">
        <f>IS!B8</f>
        <v>96000</v>
      </c>
      <c r="D6" s="9">
        <f>IS!C8</f>
        <v>210000</v>
      </c>
      <c r="E6" s="9">
        <f>IS!D8</f>
        <v>253000</v>
      </c>
      <c r="F6" s="9">
        <f>Metrics!F8</f>
        <v>253000</v>
      </c>
      <c r="G6" s="9">
        <f>Metrics!G8</f>
        <v>253000</v>
      </c>
      <c r="H6" s="9">
        <f>Metrics!H8</f>
        <v>253000</v>
      </c>
      <c r="I6" s="9">
        <f>Metrics!I8</f>
        <v>253000</v>
      </c>
      <c r="J6" s="9">
        <f>Metrics!J8</f>
        <v>253000</v>
      </c>
      <c r="L6" s="15">
        <f>Metrics!L8</f>
        <v>253000</v>
      </c>
      <c r="M6" s="15">
        <f>Metrics!M8</f>
        <v>253000</v>
      </c>
      <c r="N6" s="15">
        <f>Metrics!N8</f>
        <v>253000</v>
      </c>
      <c r="P6" s="15">
        <f>Metrics!P8</f>
        <v>253000</v>
      </c>
      <c r="Q6" s="15">
        <f>Metrics!Q8</f>
        <v>253000</v>
      </c>
      <c r="R6" s="15">
        <f>Metrics!R8</f>
        <v>253000</v>
      </c>
    </row>
    <row r="7" spans="2:18" x14ac:dyDescent="0.2">
      <c r="B7" t="str">
        <f>IS!A12</f>
        <v xml:space="preserve">  Stablecoin revenue</v>
      </c>
      <c r="C7" s="9">
        <f>IS!B12</f>
        <v>694000</v>
      </c>
      <c r="D7" s="9">
        <f>IS!C12</f>
        <v>910000</v>
      </c>
      <c r="E7" s="9">
        <f>IS!D12</f>
        <v>1400000</v>
      </c>
      <c r="F7" s="9">
        <f>Metrics!F12</f>
        <v>1470000</v>
      </c>
      <c r="G7" s="9">
        <f>Metrics!G12</f>
        <v>1633640.4000000001</v>
      </c>
      <c r="H7" s="9">
        <f>Metrics!H12</f>
        <v>1929737.7225000001</v>
      </c>
      <c r="I7" s="9">
        <f>Metrics!I12</f>
        <v>2251360.67625</v>
      </c>
      <c r="J7" s="9">
        <f>Metrics!J12</f>
        <v>2363928.7100625001</v>
      </c>
      <c r="L7" s="15">
        <f>Metrics!L12</f>
        <v>1403041.4999999998</v>
      </c>
      <c r="M7" s="15">
        <f>Metrics!M12</f>
        <v>1322600.4539999999</v>
      </c>
      <c r="N7" s="15">
        <f>Metrics!N12</f>
        <v>1335826.4585399998</v>
      </c>
      <c r="P7" s="15">
        <f>Metrics!P12</f>
        <v>1653088.5000000002</v>
      </c>
      <c r="Q7" s="15">
        <f>Metrics!Q12</f>
        <v>1939947.9750000001</v>
      </c>
      <c r="R7" s="15">
        <f>Metrics!R12</f>
        <v>2251360.67625</v>
      </c>
    </row>
    <row r="8" spans="2:18" x14ac:dyDescent="0.2">
      <c r="B8" t="str">
        <f>IS!A13</f>
        <v xml:space="preserve">  Blockchain rewards revenue</v>
      </c>
      <c r="C8" s="9">
        <f>IS!B13</f>
        <v>331000</v>
      </c>
      <c r="D8" s="9">
        <f>IS!C13</f>
        <v>706000</v>
      </c>
      <c r="E8" s="9">
        <f>IS!D13</f>
        <v>723000</v>
      </c>
      <c r="F8" s="9">
        <f>Metrics!F13</f>
        <v>751920</v>
      </c>
      <c r="G8" s="9">
        <f>Metrics!G13</f>
        <v>781996.8</v>
      </c>
      <c r="H8" s="9">
        <f>Metrics!H13</f>
        <v>813276.67200000002</v>
      </c>
      <c r="I8" s="9">
        <f>Metrics!I13</f>
        <v>845807.73888000008</v>
      </c>
      <c r="J8" s="9">
        <f>Metrics!J13</f>
        <v>879640.04843520012</v>
      </c>
      <c r="L8" s="15">
        <f>Metrics!L13</f>
        <v>737460</v>
      </c>
      <c r="M8" s="15">
        <f>Metrics!M13</f>
        <v>752209.20000000007</v>
      </c>
      <c r="N8" s="15">
        <f>Metrics!N13</f>
        <v>767253.38400000008</v>
      </c>
      <c r="P8" s="15">
        <f>Metrics!P13</f>
        <v>766380</v>
      </c>
      <c r="Q8" s="15">
        <f>Metrics!Q13</f>
        <v>812362.8</v>
      </c>
      <c r="R8" s="15">
        <f>Metrics!R13</f>
        <v>861104.56800000009</v>
      </c>
    </row>
    <row r="9" spans="2:18" x14ac:dyDescent="0.2">
      <c r="B9" t="str">
        <f>IS!A14</f>
        <v xml:space="preserve">  Interest and finance revenue</v>
      </c>
      <c r="C9" s="9">
        <f>IS!B14</f>
        <v>187000</v>
      </c>
      <c r="D9" s="9">
        <f>IS!C14</f>
        <v>266000</v>
      </c>
      <c r="E9" s="9">
        <f>IS!D14</f>
        <v>380000</v>
      </c>
      <c r="F9" s="9">
        <f>Metrics!F14</f>
        <v>383800</v>
      </c>
      <c r="G9" s="9">
        <f>Metrics!G14</f>
        <v>383800</v>
      </c>
      <c r="H9" s="9">
        <f>Metrics!H14</f>
        <v>379962</v>
      </c>
      <c r="I9" s="9">
        <f>Metrics!I14</f>
        <v>376162.38</v>
      </c>
      <c r="J9" s="9">
        <f>Metrics!J14</f>
        <v>372400.7562</v>
      </c>
      <c r="L9" s="15">
        <f>Metrics!L14</f>
        <v>368600</v>
      </c>
      <c r="M9" s="15">
        <f>Metrics!M14</f>
        <v>357542</v>
      </c>
      <c r="N9" s="15">
        <f>Metrics!N14</f>
        <v>346815.74</v>
      </c>
      <c r="P9" s="15">
        <f>Metrics!P14</f>
        <v>399000</v>
      </c>
      <c r="Q9" s="15">
        <f>Metrics!Q14</f>
        <v>418950</v>
      </c>
      <c r="R9" s="15">
        <f>Metrics!R14</f>
        <v>439897.5</v>
      </c>
    </row>
    <row r="10" spans="2:18" x14ac:dyDescent="0.2">
      <c r="B10" t="str">
        <f>IS!A15</f>
        <v xml:space="preserve">  Custodial and other</v>
      </c>
      <c r="C10" s="9">
        <f>IS!B15</f>
        <v>196000</v>
      </c>
      <c r="D10" s="9">
        <f>IS!C15</f>
        <v>425000</v>
      </c>
      <c r="E10" s="9">
        <f>IS!D15</f>
        <v>327000</v>
      </c>
      <c r="F10" s="9">
        <f>Metrics!F15</f>
        <v>340080</v>
      </c>
      <c r="G10" s="9">
        <f>Metrics!G15</f>
        <v>353683.20000000001</v>
      </c>
      <c r="H10" s="9">
        <f>Metrics!H15</f>
        <v>367830.52800000005</v>
      </c>
      <c r="I10" s="9">
        <f>Metrics!I15</f>
        <v>382543.74912000005</v>
      </c>
      <c r="J10" s="9">
        <f>Metrics!J15</f>
        <v>397845.49908480007</v>
      </c>
      <c r="L10" s="15">
        <f>Metrics!L15</f>
        <v>333540</v>
      </c>
      <c r="M10" s="15">
        <f>Metrics!M15</f>
        <v>340210.8</v>
      </c>
      <c r="N10" s="15">
        <f>Metrics!N15</f>
        <v>347015.016</v>
      </c>
      <c r="P10" s="15">
        <f>Metrics!P15</f>
        <v>346620</v>
      </c>
      <c r="Q10" s="15">
        <f>Metrics!Q15</f>
        <v>367417.2</v>
      </c>
      <c r="R10" s="15">
        <f>Metrics!R15</f>
        <v>389462.23200000002</v>
      </c>
    </row>
    <row r="11" spans="2:18" x14ac:dyDescent="0.2">
      <c r="B11" s="29" t="str">
        <f>IS!A18</f>
        <v>Total other revenue</v>
      </c>
      <c r="C11" s="9">
        <f>IS!B18</f>
        <v>181000</v>
      </c>
      <c r="D11" s="9">
        <f>IS!C18</f>
        <v>271000</v>
      </c>
      <c r="E11" s="9">
        <f>IS!D18</f>
        <v>298000</v>
      </c>
      <c r="F11" s="9">
        <f>Metrics!F18</f>
        <v>298000</v>
      </c>
      <c r="G11" s="9">
        <f>Metrics!G18</f>
        <v>298000</v>
      </c>
      <c r="H11" s="9">
        <f>Metrics!H18</f>
        <v>298000</v>
      </c>
      <c r="I11" s="9">
        <f>Metrics!I18</f>
        <v>298000</v>
      </c>
      <c r="J11" s="9">
        <f>Metrics!J18</f>
        <v>298000</v>
      </c>
      <c r="L11" s="9">
        <f>Metrics!L18</f>
        <v>298000</v>
      </c>
      <c r="M11" s="9">
        <f>Metrics!M18</f>
        <v>298000</v>
      </c>
      <c r="N11" s="9">
        <f>Metrics!N18</f>
        <v>298000</v>
      </c>
      <c r="P11" s="15">
        <f>Metrics!P18</f>
        <v>298000</v>
      </c>
      <c r="Q11" s="15">
        <f>Metrics!Q18</f>
        <v>298000</v>
      </c>
      <c r="R11" s="15">
        <f>Metrics!R18</f>
        <v>298000</v>
      </c>
    </row>
    <row r="12" spans="2:18" ht="16" customHeight="1" thickBot="1" x14ac:dyDescent="0.25">
      <c r="B12" s="33" t="s">
        <v>0</v>
      </c>
      <c r="C12" s="34">
        <f t="shared" ref="C12:H12" si="0">SUM(C4:C11)</f>
        <v>3109000</v>
      </c>
      <c r="D12" s="34">
        <f t="shared" si="0"/>
        <v>6564000</v>
      </c>
      <c r="E12" s="34">
        <f t="shared" si="0"/>
        <v>7181000</v>
      </c>
      <c r="F12" s="34">
        <f t="shared" si="0"/>
        <v>7398225</v>
      </c>
      <c r="G12" s="34">
        <f t="shared" si="0"/>
        <v>7747948.3900000006</v>
      </c>
      <c r="H12" s="34">
        <f t="shared" si="0"/>
        <v>8360343.1331000002</v>
      </c>
      <c r="I12" s="34">
        <f t="shared" ref="I12:J12" si="1">SUM(I4:I11)</f>
        <v>8874880.5593080018</v>
      </c>
      <c r="J12" s="34">
        <f t="shared" si="1"/>
        <v>9272954.9514570609</v>
      </c>
      <c r="L12" s="34">
        <f>SUM(L4:L11)</f>
        <v>6702761.5</v>
      </c>
      <c r="M12" s="34">
        <f>SUM(M4:M11)</f>
        <v>6682271.2540000007</v>
      </c>
      <c r="N12" s="34">
        <f>SUM(N4:N11)</f>
        <v>6757528.9665400004</v>
      </c>
      <c r="P12" s="34">
        <f>SUM(P4:P11)</f>
        <v>7944428.5</v>
      </c>
      <c r="Q12" s="34">
        <f>SUM(Q4:Q11)</f>
        <v>8692856.375</v>
      </c>
      <c r="R12" s="34">
        <f>SUM(R4:R11)</f>
        <v>9506748.2542500012</v>
      </c>
    </row>
    <row r="13" spans="2:18" x14ac:dyDescent="0.2">
      <c r="B13" t="s">
        <v>107</v>
      </c>
      <c r="C13" s="47"/>
      <c r="D13" s="42">
        <f>(D12-C12)/C12</f>
        <v>1.1112898037954326</v>
      </c>
      <c r="E13" s="42">
        <f>(E12-D12)/D12</f>
        <v>9.3997562461913473E-2</v>
      </c>
      <c r="F13" s="42">
        <f>(F12-E12)/E12</f>
        <v>3.0249965185907255E-2</v>
      </c>
      <c r="G13" s="42">
        <f>(G12-F12)/F12</f>
        <v>4.72712562810675E-2</v>
      </c>
      <c r="H13" s="42">
        <f>(H12-G12)/G12</f>
        <v>7.9039600197956347E-2</v>
      </c>
      <c r="I13" s="42">
        <f>(I12-H12)/H12</f>
        <v>6.1545012927861971E-2</v>
      </c>
      <c r="J13" s="42">
        <f>(J12-I12)/I12</f>
        <v>4.4854056287164053E-2</v>
      </c>
      <c r="L13" s="42">
        <f>(L12-E12)/E12</f>
        <v>-6.6597757972427243E-2</v>
      </c>
      <c r="M13" s="42">
        <f>(M12-L12)/L12</f>
        <v>-3.0569856916435626E-3</v>
      </c>
      <c r="N13" s="42">
        <f>(N12-M12)/M12</f>
        <v>1.1262295360271488E-2</v>
      </c>
      <c r="P13" s="42">
        <f>(P12-E12)/E12</f>
        <v>0.10631228241192034</v>
      </c>
      <c r="Q13" s="42">
        <f>(Q12-P12)/P12</f>
        <v>9.4207893620038244E-2</v>
      </c>
      <c r="R13" s="42">
        <f>(R12-Q12)/Q12</f>
        <v>9.3627668989297114E-2</v>
      </c>
    </row>
    <row r="15" spans="2:18" x14ac:dyDescent="0.2">
      <c r="B15" s="38" t="s">
        <v>108</v>
      </c>
      <c r="C15" s="38"/>
      <c r="D15" s="38"/>
      <c r="E15" s="38"/>
      <c r="F15" s="38"/>
      <c r="G15" s="38"/>
      <c r="H15" s="38"/>
      <c r="I15" s="38"/>
      <c r="J15" s="38"/>
    </row>
    <row r="16" spans="2:18" x14ac:dyDescent="0.2">
      <c r="B16" s="39" t="s">
        <v>7</v>
      </c>
      <c r="C16" s="46"/>
      <c r="D16" s="40">
        <f t="shared" ref="D16:G23" si="2">(D4-C4)/C4</f>
        <v>1.5712143928035982</v>
      </c>
      <c r="E16" s="40">
        <f t="shared" si="2"/>
        <v>-3.2069970845481049E-2</v>
      </c>
      <c r="F16" s="40">
        <f t="shared" si="2"/>
        <v>2.0429216867469881E-2</v>
      </c>
      <c r="G16" s="40">
        <f t="shared" si="2"/>
        <v>1.1111111111111112E-2</v>
      </c>
      <c r="H16" s="40">
        <f>(H4-G4)/G4</f>
        <v>0.05</v>
      </c>
      <c r="I16" s="40">
        <f>(I4-H4)/H4</f>
        <v>9.6153846153846159E-3</v>
      </c>
      <c r="J16" s="40">
        <f>(J4-I4)/I4</f>
        <v>0.05</v>
      </c>
      <c r="L16" s="40">
        <f>(L4-E4)/E4</f>
        <v>-0.12750602409638553</v>
      </c>
      <c r="M16" s="40">
        <f t="shared" ref="M16:N23" si="3">(M4-L4)/L4</f>
        <v>1.0000000000000096E-2</v>
      </c>
      <c r="N16" s="40">
        <f t="shared" si="3"/>
        <v>9.9999999999999568E-3</v>
      </c>
      <c r="P16" s="40">
        <f>(P4-E4)/E4</f>
        <v>7.8379518072289156E-2</v>
      </c>
      <c r="Q16" s="40">
        <f t="shared" ref="Q16:R23" si="4">(Q4-P4)/P4</f>
        <v>6.9999999999999979E-2</v>
      </c>
      <c r="R16" s="40">
        <f t="shared" si="4"/>
        <v>7.0000000000000034E-2</v>
      </c>
    </row>
    <row r="17" spans="2:18" x14ac:dyDescent="0.2">
      <c r="B17" s="41" t="s">
        <v>8</v>
      </c>
      <c r="C17" s="47"/>
      <c r="D17" s="42">
        <f t="shared" si="2"/>
        <v>2.8444444444444446</v>
      </c>
      <c r="E17" s="42">
        <f t="shared" si="2"/>
        <v>0.38728323699421963</v>
      </c>
      <c r="F17" s="42">
        <f t="shared" si="2"/>
        <v>7.0000000000000118E-2</v>
      </c>
      <c r="G17" s="42">
        <f t="shared" si="2"/>
        <v>0.20397291666666698</v>
      </c>
      <c r="H17" s="42">
        <f>(H5-G5)/G5</f>
        <v>0.16727272727272702</v>
      </c>
      <c r="I17" s="42">
        <f>(I5-H5)/H5</f>
        <v>0.15916666666666679</v>
      </c>
      <c r="J17" s="42">
        <f>(J5-I5)/I5</f>
        <v>6.9999999999999993E-2</v>
      </c>
      <c r="L17" s="42">
        <f>(L5-E5)/E5</f>
        <v>-0.14074999999999999</v>
      </c>
      <c r="M17" s="42">
        <f t="shared" si="3"/>
        <v>0.05</v>
      </c>
      <c r="N17" s="42">
        <f t="shared" si="3"/>
        <v>5.0000000000000079E-2</v>
      </c>
      <c r="P17" s="42">
        <f>(P5-E5)/E5</f>
        <v>0.35025000000000001</v>
      </c>
      <c r="Q17" s="42">
        <f t="shared" si="4"/>
        <v>0.19166666666666668</v>
      </c>
      <c r="R17" s="42">
        <f t="shared" si="4"/>
        <v>0.18461538461538465</v>
      </c>
    </row>
    <row r="18" spans="2:18" x14ac:dyDescent="0.2">
      <c r="B18" s="41" t="s">
        <v>9</v>
      </c>
      <c r="C18" s="47"/>
      <c r="D18" s="42">
        <f t="shared" si="2"/>
        <v>1.1875</v>
      </c>
      <c r="E18" s="42">
        <f t="shared" si="2"/>
        <v>0.20476190476190476</v>
      </c>
      <c r="F18" s="42">
        <f t="shared" si="2"/>
        <v>0</v>
      </c>
      <c r="G18" s="42">
        <f t="shared" si="2"/>
        <v>0</v>
      </c>
      <c r="H18" s="42">
        <f>(H6-G6)/G6</f>
        <v>0</v>
      </c>
      <c r="I18" s="42">
        <f>(I6-H6)/H6</f>
        <v>0</v>
      </c>
      <c r="J18" s="42">
        <f>(J6-I6)/I6</f>
        <v>0</v>
      </c>
      <c r="L18" s="42">
        <f>(L6-E6)/E6</f>
        <v>0</v>
      </c>
      <c r="M18" s="42">
        <f t="shared" si="3"/>
        <v>0</v>
      </c>
      <c r="N18" s="42">
        <f t="shared" si="3"/>
        <v>0</v>
      </c>
      <c r="P18" s="42">
        <f>(P6-E6)/E6</f>
        <v>0</v>
      </c>
      <c r="Q18" s="42">
        <f t="shared" si="4"/>
        <v>0</v>
      </c>
      <c r="R18" s="42">
        <f t="shared" si="4"/>
        <v>0</v>
      </c>
    </row>
    <row r="19" spans="2:18" x14ac:dyDescent="0.2">
      <c r="B19" s="41" t="s">
        <v>12</v>
      </c>
      <c r="C19" s="47"/>
      <c r="D19" s="42">
        <f t="shared" si="2"/>
        <v>0.31123919308357351</v>
      </c>
      <c r="E19" s="42">
        <f t="shared" si="2"/>
        <v>0.53846153846153844</v>
      </c>
      <c r="F19" s="42">
        <f t="shared" si="2"/>
        <v>0.05</v>
      </c>
      <c r="G19" s="42">
        <f t="shared" si="2"/>
        <v>0.1113200000000001</v>
      </c>
      <c r="H19" s="42">
        <f>(H7-G7)/G7</f>
        <v>0.18124999999999999</v>
      </c>
      <c r="I19" s="42">
        <f>(I7-H7)/H7</f>
        <v>0.16666666666666657</v>
      </c>
      <c r="J19" s="42">
        <f>(J7-I7)/I7</f>
        <v>5.0000000000000031E-2</v>
      </c>
      <c r="L19" s="42">
        <f>(L7-E7)/E7</f>
        <v>2.1724999999998339E-3</v>
      </c>
      <c r="M19" s="42">
        <f t="shared" si="3"/>
        <v>-5.7333333333333243E-2</v>
      </c>
      <c r="N19" s="42">
        <f t="shared" si="3"/>
        <v>9.9999999999999083E-3</v>
      </c>
      <c r="P19" s="42">
        <f>(P7-E7)/E7</f>
        <v>0.18077750000000017</v>
      </c>
      <c r="Q19" s="42">
        <f t="shared" si="4"/>
        <v>0.17352941176470577</v>
      </c>
      <c r="R19" s="42">
        <f t="shared" si="4"/>
        <v>0.16052631578947363</v>
      </c>
    </row>
    <row r="20" spans="2:18" x14ac:dyDescent="0.2">
      <c r="B20" s="41" t="s">
        <v>13</v>
      </c>
      <c r="C20" s="47"/>
      <c r="D20" s="42">
        <f t="shared" si="2"/>
        <v>1.1329305135951662</v>
      </c>
      <c r="E20" s="42">
        <f t="shared" si="2"/>
        <v>2.4079320113314446E-2</v>
      </c>
      <c r="F20" s="42">
        <f t="shared" si="2"/>
        <v>0.04</v>
      </c>
      <c r="G20" s="42">
        <f t="shared" si="2"/>
        <v>4.0000000000000063E-2</v>
      </c>
      <c r="H20" s="42">
        <f>(H8-G8)/G8</f>
        <v>3.9999999999999966E-2</v>
      </c>
      <c r="I20" s="42">
        <f>(I8-H8)/H8</f>
        <v>4.000000000000007E-2</v>
      </c>
      <c r="J20" s="42">
        <f>(J8-I8)/I8</f>
        <v>4.0000000000000049E-2</v>
      </c>
      <c r="L20" s="42">
        <f>(L8-E8)/E8</f>
        <v>0.02</v>
      </c>
      <c r="M20" s="42">
        <f t="shared" si="3"/>
        <v>2.0000000000000094E-2</v>
      </c>
      <c r="N20" s="42">
        <f t="shared" si="3"/>
        <v>2.0000000000000011E-2</v>
      </c>
      <c r="P20" s="42">
        <f>(P8-E8)/E8</f>
        <v>0.06</v>
      </c>
      <c r="Q20" s="42">
        <f t="shared" si="4"/>
        <v>6.000000000000006E-2</v>
      </c>
      <c r="R20" s="42">
        <f t="shared" si="4"/>
        <v>6.0000000000000046E-2</v>
      </c>
    </row>
    <row r="21" spans="2:18" x14ac:dyDescent="0.2">
      <c r="B21" s="41" t="s">
        <v>14</v>
      </c>
      <c r="C21" s="47"/>
      <c r="D21" s="42">
        <f t="shared" si="2"/>
        <v>0.42245989304812837</v>
      </c>
      <c r="E21" s="42">
        <f t="shared" si="2"/>
        <v>0.42857142857142855</v>
      </c>
      <c r="F21" s="42">
        <f t="shared" si="2"/>
        <v>0.01</v>
      </c>
      <c r="G21" s="42">
        <f t="shared" si="2"/>
        <v>0</v>
      </c>
      <c r="H21" s="42">
        <f>(H9-G9)/G9</f>
        <v>-0.01</v>
      </c>
      <c r="I21" s="42">
        <f>(I9-H9)/H9</f>
        <v>-9.9999999999999881E-3</v>
      </c>
      <c r="J21" s="42">
        <f>(J9-I9)/I9</f>
        <v>-1.0000000000000004E-2</v>
      </c>
      <c r="L21" s="42">
        <f>(L9-E9)/E9</f>
        <v>-0.03</v>
      </c>
      <c r="M21" s="42">
        <f t="shared" si="3"/>
        <v>-0.03</v>
      </c>
      <c r="N21" s="42">
        <f t="shared" si="3"/>
        <v>-3.0000000000000027E-2</v>
      </c>
      <c r="P21" s="42">
        <f>(P9-E9)/E9</f>
        <v>0.05</v>
      </c>
      <c r="Q21" s="42">
        <f t="shared" si="4"/>
        <v>0.05</v>
      </c>
      <c r="R21" s="42">
        <f t="shared" si="4"/>
        <v>0.05</v>
      </c>
    </row>
    <row r="22" spans="2:18" x14ac:dyDescent="0.2">
      <c r="B22" s="41" t="s">
        <v>15</v>
      </c>
      <c r="C22" s="47"/>
      <c r="D22" s="42">
        <f t="shared" si="2"/>
        <v>1.1683673469387754</v>
      </c>
      <c r="E22" s="42">
        <f t="shared" si="2"/>
        <v>-0.23058823529411765</v>
      </c>
      <c r="F22" s="42">
        <f t="shared" si="2"/>
        <v>0.04</v>
      </c>
      <c r="G22" s="42">
        <f t="shared" si="2"/>
        <v>4.0000000000000036E-2</v>
      </c>
      <c r="H22" s="42">
        <f>(H10-G10)/G10</f>
        <v>4.0000000000000105E-2</v>
      </c>
      <c r="I22" s="42">
        <f>(I10-H10)/H10</f>
        <v>0.04</v>
      </c>
      <c r="J22" s="42">
        <f>(J10-I10)/I10</f>
        <v>4.0000000000000056E-2</v>
      </c>
      <c r="L22" s="42">
        <f>(L10-E10)/E10</f>
        <v>0.02</v>
      </c>
      <c r="M22" s="42">
        <f t="shared" si="3"/>
        <v>1.9999999999999966E-2</v>
      </c>
      <c r="N22" s="42">
        <f t="shared" si="3"/>
        <v>2.0000000000000046E-2</v>
      </c>
      <c r="P22" s="42">
        <f>(P10-E10)/E10</f>
        <v>0.06</v>
      </c>
      <c r="Q22" s="42">
        <f t="shared" si="4"/>
        <v>6.0000000000000032E-2</v>
      </c>
      <c r="R22" s="42">
        <f t="shared" si="4"/>
        <v>6.0000000000000019E-2</v>
      </c>
    </row>
    <row r="23" spans="2:18" x14ac:dyDescent="0.2">
      <c r="B23" s="43" t="s">
        <v>109</v>
      </c>
      <c r="C23" s="48"/>
      <c r="D23" s="44">
        <f t="shared" si="2"/>
        <v>0.49723756906077349</v>
      </c>
      <c r="E23" s="44">
        <f t="shared" si="2"/>
        <v>9.9630996309963096E-2</v>
      </c>
      <c r="F23" s="44">
        <f t="shared" si="2"/>
        <v>0</v>
      </c>
      <c r="G23" s="44">
        <f t="shared" si="2"/>
        <v>0</v>
      </c>
      <c r="H23" s="44">
        <f>(H11-G11)/G11</f>
        <v>0</v>
      </c>
      <c r="I23" s="44">
        <f>(I11-H11)/H11</f>
        <v>0</v>
      </c>
      <c r="J23" s="44">
        <f>(J11-I11)/I11</f>
        <v>0</v>
      </c>
      <c r="L23" s="44">
        <f>(L11-E11)/E11</f>
        <v>0</v>
      </c>
      <c r="M23" s="44">
        <f t="shared" si="3"/>
        <v>0</v>
      </c>
      <c r="N23" s="44">
        <f t="shared" si="3"/>
        <v>0</v>
      </c>
      <c r="P23" s="44">
        <f>(P11-E11)/E11</f>
        <v>0</v>
      </c>
      <c r="Q23" s="44">
        <f t="shared" si="4"/>
        <v>0</v>
      </c>
      <c r="R23" s="44">
        <f t="shared" si="4"/>
        <v>0</v>
      </c>
    </row>
    <row r="26" spans="2:18" x14ac:dyDescent="0.2">
      <c r="B26" t="s">
        <v>110</v>
      </c>
      <c r="C26" s="9">
        <f>-(IS!B23+IS!B24)</f>
        <v>-1746000</v>
      </c>
      <c r="D26" s="9">
        <f>-(IS!C23+IS!C24)</f>
        <v>-2366000</v>
      </c>
      <c r="E26" s="9">
        <f>-(IS!D23+IS!D24)</f>
        <v>-2730000</v>
      </c>
      <c r="F26" s="9">
        <f>F27-F12</f>
        <v>-2885307.75</v>
      </c>
      <c r="G26" s="9">
        <f>G27-G12</f>
        <v>-2944220.3881999999</v>
      </c>
      <c r="H26" s="9">
        <f>H27-H12</f>
        <v>-3093326.9592469996</v>
      </c>
      <c r="I26" s="9">
        <f>I27-I12</f>
        <v>-3194957.0013508806</v>
      </c>
      <c r="J26" s="9">
        <f>J27-J12</f>
        <v>-3430993.3320391122</v>
      </c>
      <c r="L26" s="9">
        <f>L27-L12</f>
        <v>-2614076.9849999999</v>
      </c>
      <c r="M26" s="9">
        <f>M27-M12</f>
        <v>-2539263.0765200001</v>
      </c>
      <c r="N26" s="9">
        <f>N27-N12</f>
        <v>-2500285.7176198</v>
      </c>
      <c r="P26" s="9">
        <f>P27-P12</f>
        <v>-3098327.1150000002</v>
      </c>
      <c r="Q26" s="9">
        <f>Q27-Q12</f>
        <v>-3303285.4225000003</v>
      </c>
      <c r="R26" s="9">
        <f>R27-R12</f>
        <v>-3517496.8540725</v>
      </c>
    </row>
    <row r="27" spans="2:18" ht="16" customHeight="1" thickBot="1" x14ac:dyDescent="0.25">
      <c r="B27" s="49" t="s">
        <v>111</v>
      </c>
      <c r="C27" s="50">
        <f>C12+C26</f>
        <v>1363000</v>
      </c>
      <c r="D27" s="50">
        <f>D12+D26</f>
        <v>4198000</v>
      </c>
      <c r="E27" s="50">
        <f>E12+E26</f>
        <v>4451000</v>
      </c>
      <c r="F27" s="50">
        <f>F12*F28</f>
        <v>4512917.25</v>
      </c>
      <c r="G27" s="50">
        <f>G12*G28</f>
        <v>4803728.0018000007</v>
      </c>
      <c r="H27" s="50">
        <f>H12*H28</f>
        <v>5267016.1738530006</v>
      </c>
      <c r="I27" s="50">
        <f>I12*I28</f>
        <v>5679923.5579571212</v>
      </c>
      <c r="J27" s="50">
        <f>J12*J28</f>
        <v>5841961.6194179486</v>
      </c>
      <c r="L27" s="50">
        <f>L12*L28</f>
        <v>4088684.5150000001</v>
      </c>
      <c r="M27" s="50">
        <f>M12*M28</f>
        <v>4143008.1774800005</v>
      </c>
      <c r="N27" s="50">
        <f>N12*N28</f>
        <v>4257243.2489202004</v>
      </c>
      <c r="P27" s="50">
        <f>P12*P28</f>
        <v>4846101.3849999998</v>
      </c>
      <c r="Q27" s="50">
        <f>Q12*Q28</f>
        <v>5389570.9524999997</v>
      </c>
      <c r="R27" s="50">
        <f>R12*R28</f>
        <v>5989251.4001775011</v>
      </c>
    </row>
    <row r="28" spans="2:18" x14ac:dyDescent="0.2">
      <c r="B28" t="s">
        <v>112</v>
      </c>
      <c r="C28" s="42">
        <f>C27/C12</f>
        <v>0.4384046317143776</v>
      </c>
      <c r="D28" s="42">
        <f>D27/D12</f>
        <v>0.63954905545399143</v>
      </c>
      <c r="E28" s="42">
        <f>E27/E12</f>
        <v>0.61983010722740561</v>
      </c>
      <c r="F28" s="42">
        <v>0.61</v>
      </c>
      <c r="G28" s="42">
        <v>0.62</v>
      </c>
      <c r="H28" s="42">
        <v>0.63</v>
      </c>
      <c r="I28" s="42">
        <v>0.64</v>
      </c>
      <c r="J28" s="42">
        <v>0.63</v>
      </c>
      <c r="L28" s="42">
        <f>F28</f>
        <v>0.61</v>
      </c>
      <c r="M28" s="42">
        <f>G28</f>
        <v>0.62</v>
      </c>
      <c r="N28" s="42">
        <f>H28</f>
        <v>0.63</v>
      </c>
      <c r="P28" s="42">
        <f>L28</f>
        <v>0.61</v>
      </c>
      <c r="Q28" s="42">
        <f>M28</f>
        <v>0.62</v>
      </c>
      <c r="R28" s="42">
        <f>N28</f>
        <v>0.63</v>
      </c>
    </row>
    <row r="30" spans="2:18" x14ac:dyDescent="0.2">
      <c r="B30" t="s">
        <v>113</v>
      </c>
      <c r="C30" s="9">
        <f>-SUM(IS!B25:B30)</f>
        <v>-1523000</v>
      </c>
      <c r="D30" s="9">
        <f>-SUM(IS!C25:C30)</f>
        <v>-1890000</v>
      </c>
      <c r="E30" s="9">
        <f>-SUM(IS!D25:D30)</f>
        <v>-3015000</v>
      </c>
      <c r="F30" s="9">
        <f>F31-F27</f>
        <v>-2663361</v>
      </c>
      <c r="G30" s="9">
        <f>G31-G27</f>
        <v>-2789261.4204000002</v>
      </c>
      <c r="H30" s="9">
        <f>H31-H27</f>
        <v>-2926120.0965850004</v>
      </c>
      <c r="I30" s="9">
        <f>I31-I27</f>
        <v>-3194957.0013508806</v>
      </c>
      <c r="J30" s="9">
        <f>J31-J27</f>
        <v>-3245534.2330099712</v>
      </c>
      <c r="L30" s="9">
        <f>L31-L27</f>
        <v>-2412994.14</v>
      </c>
      <c r="M30" s="9">
        <f>M31-M27</f>
        <v>-2405617.6514400002</v>
      </c>
      <c r="N30" s="9">
        <f>N31-N27</f>
        <v>-2365135.1382889999</v>
      </c>
      <c r="P30" s="9">
        <f>P31-P27</f>
        <v>-2859994.26</v>
      </c>
      <c r="Q30" s="9">
        <f>Q31-Q27</f>
        <v>-3129428.2949999995</v>
      </c>
      <c r="R30" s="9">
        <f>R31-R27</f>
        <v>-3327361.8889875007</v>
      </c>
    </row>
    <row r="31" spans="2:18" ht="16" customHeight="1" thickBot="1" x14ac:dyDescent="0.25">
      <c r="B31" s="49" t="s">
        <v>114</v>
      </c>
      <c r="C31" s="50">
        <f>C27+C30</f>
        <v>-160000</v>
      </c>
      <c r="D31" s="50">
        <f>D27+D30</f>
        <v>2308000</v>
      </c>
      <c r="E31" s="50">
        <f>E27+E30</f>
        <v>1436000</v>
      </c>
      <c r="F31" s="50">
        <f>F32*F12</f>
        <v>1849556.25</v>
      </c>
      <c r="G31" s="50">
        <f>G32*G12</f>
        <v>2014466.5814000003</v>
      </c>
      <c r="H31" s="50">
        <f>H32*H12</f>
        <v>2340896.0772680002</v>
      </c>
      <c r="I31" s="50">
        <f>I32*I12</f>
        <v>2484966.5566062406</v>
      </c>
      <c r="J31" s="50">
        <f>J32*J12</f>
        <v>2596427.3864079774</v>
      </c>
      <c r="L31" s="50">
        <f>L32*L12</f>
        <v>1675690.375</v>
      </c>
      <c r="M31" s="50">
        <f>M32*M12</f>
        <v>1737390.5260400001</v>
      </c>
      <c r="N31" s="50">
        <f>N32*N12</f>
        <v>1892108.1106312003</v>
      </c>
      <c r="P31" s="50">
        <f>P32*P12</f>
        <v>1986107.125</v>
      </c>
      <c r="Q31" s="50">
        <f>Q32*Q12</f>
        <v>2260142.6575000002</v>
      </c>
      <c r="R31" s="50">
        <f>R32*R12</f>
        <v>2661889.5111900005</v>
      </c>
    </row>
    <row r="32" spans="2:18" x14ac:dyDescent="0.2">
      <c r="B32" t="s">
        <v>115</v>
      </c>
      <c r="C32" s="42">
        <f>C31/C12</f>
        <v>-5.1463493084593116E-2</v>
      </c>
      <c r="D32" s="42">
        <f>D31/D12</f>
        <v>0.35161486898232786</v>
      </c>
      <c r="E32" s="42">
        <f>E31/E12</f>
        <v>0.19997214872580421</v>
      </c>
      <c r="F32" s="42">
        <v>0.25</v>
      </c>
      <c r="G32" s="42">
        <v>0.26</v>
      </c>
      <c r="H32" s="42">
        <v>0.28000000000000003</v>
      </c>
      <c r="I32" s="42">
        <v>0.28000000000000003</v>
      </c>
      <c r="J32" s="42">
        <v>0.28000000000000003</v>
      </c>
      <c r="L32" s="42">
        <f>F32</f>
        <v>0.25</v>
      </c>
      <c r="M32" s="42">
        <f>G32</f>
        <v>0.26</v>
      </c>
      <c r="N32" s="42">
        <f>H32</f>
        <v>0.28000000000000003</v>
      </c>
      <c r="P32" s="42">
        <f>L32</f>
        <v>0.25</v>
      </c>
      <c r="Q32" s="42">
        <f>M32</f>
        <v>0.26</v>
      </c>
      <c r="R32" s="42">
        <f>N32</f>
        <v>0.28000000000000003</v>
      </c>
    </row>
  </sheetData>
  <mergeCells count="7">
    <mergeCell ref="C2:E2"/>
    <mergeCell ref="L1:N1"/>
    <mergeCell ref="L2:N2"/>
    <mergeCell ref="P2:R2"/>
    <mergeCell ref="P1:R1"/>
    <mergeCell ref="F2:J2"/>
    <mergeCell ref="F1:J1"/>
  </mergeCell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22"/>
  <sheetViews>
    <sheetView showGridLines="0" workbookViewId="0">
      <selection activeCell="L1" sqref="L1"/>
    </sheetView>
  </sheetViews>
  <sheetFormatPr baseColWidth="10" defaultRowHeight="15" x14ac:dyDescent="0.2"/>
  <cols>
    <col min="2" max="2" width="20.6640625" bestFit="1" customWidth="1"/>
    <col min="3" max="3" width="20.6640625" customWidth="1"/>
    <col min="4" max="4" width="14.6640625" bestFit="1" customWidth="1"/>
    <col min="5" max="5" width="12.6640625" bestFit="1" customWidth="1"/>
    <col min="6" max="6" width="13.6640625" bestFit="1" customWidth="1"/>
    <col min="7" max="7" width="12.83203125" bestFit="1" customWidth="1"/>
    <col min="8" max="8" width="13.6640625" bestFit="1" customWidth="1"/>
    <col min="10" max="10" width="11.83203125" bestFit="1" customWidth="1"/>
    <col min="11" max="11" width="13.6640625" bestFit="1" customWidth="1"/>
  </cols>
  <sheetData>
    <row r="1" spans="2:13" x14ac:dyDescent="0.2">
      <c r="C1" s="100">
        <v>2025</v>
      </c>
      <c r="D1" s="101">
        <v>2026</v>
      </c>
      <c r="E1" s="101">
        <v>2027</v>
      </c>
      <c r="F1" s="101">
        <v>2028</v>
      </c>
      <c r="G1" s="101">
        <v>2029</v>
      </c>
      <c r="H1" s="101">
        <v>2030</v>
      </c>
      <c r="J1" t="s">
        <v>134</v>
      </c>
      <c r="K1">
        <f>0.4*2.659+0.3*0.68+0.3*0.912</f>
        <v>1.5411999999999999</v>
      </c>
      <c r="L1" t="s">
        <v>139</v>
      </c>
      <c r="M1" t="s">
        <v>164</v>
      </c>
    </row>
    <row r="2" spans="2:13" x14ac:dyDescent="0.2">
      <c r="B2" t="s">
        <v>125</v>
      </c>
      <c r="C2" s="67">
        <f>Model!E31</f>
        <v>1436000</v>
      </c>
      <c r="D2" s="67">
        <f>Model!F31</f>
        <v>1849556.25</v>
      </c>
      <c r="E2" s="67">
        <f>Model!G31</f>
        <v>2014466.5814000003</v>
      </c>
      <c r="F2" s="67">
        <f>Model!H31</f>
        <v>2340896.0772680002</v>
      </c>
      <c r="G2" s="67">
        <f>Model!I31</f>
        <v>2484966.5566062406</v>
      </c>
      <c r="H2" s="67">
        <f>Model!J31</f>
        <v>2596427.3864079774</v>
      </c>
      <c r="J2" t="s">
        <v>135</v>
      </c>
      <c r="K2" s="30">
        <v>4.2700000000000002E-2</v>
      </c>
      <c r="L2" s="30" t="s">
        <v>141</v>
      </c>
    </row>
    <row r="3" spans="2:13" x14ac:dyDescent="0.2">
      <c r="B3" s="63" t="s">
        <v>150</v>
      </c>
      <c r="C3" s="67">
        <f>CF!D7</f>
        <v>189000</v>
      </c>
      <c r="D3" s="67">
        <f>C3*(1.05)</f>
        <v>198450</v>
      </c>
      <c r="E3" s="67">
        <f>D3*(1.05)</f>
        <v>208372.5</v>
      </c>
      <c r="F3" s="67">
        <f>E3*(1.05)</f>
        <v>218791.125</v>
      </c>
      <c r="G3" s="67">
        <f>F3*(1.05)</f>
        <v>229730.68125000002</v>
      </c>
      <c r="H3" s="67">
        <f>G3*(1.05)</f>
        <v>241217.21531250005</v>
      </c>
      <c r="J3" t="s">
        <v>136</v>
      </c>
      <c r="K3" s="30">
        <v>4.4600000000000001E-2</v>
      </c>
      <c r="L3" s="30" t="s">
        <v>140</v>
      </c>
    </row>
    <row r="4" spans="2:13" x14ac:dyDescent="0.2">
      <c r="B4" s="63" t="s">
        <v>133</v>
      </c>
      <c r="C4" s="67">
        <f>-IS!D38</f>
        <v>-262000</v>
      </c>
      <c r="D4" s="67">
        <f>-D2*IS!$D$41</f>
        <v>-337453.85619777156</v>
      </c>
      <c r="E4" s="67">
        <f>-E2*IS!$D$41</f>
        <v>-367541.95287381619</v>
      </c>
      <c r="F4" s="67">
        <f>-F2*IS!$D$41</f>
        <v>-427099.42356839555</v>
      </c>
      <c r="G4" s="67">
        <f>-G2*IS!$D$41</f>
        <v>-453385.26311339485</v>
      </c>
      <c r="H4" s="67">
        <f>-H2*IS!$D$41</f>
        <v>-473721.43122485379</v>
      </c>
      <c r="J4" t="s">
        <v>143</v>
      </c>
      <c r="K4" s="67">
        <v>51000000</v>
      </c>
    </row>
    <row r="5" spans="2:13" x14ac:dyDescent="0.2">
      <c r="B5" s="63" t="s">
        <v>129</v>
      </c>
      <c r="C5" s="96">
        <v>-110595</v>
      </c>
      <c r="D5" s="67">
        <f>C5*(1.02)</f>
        <v>-112806.90000000001</v>
      </c>
      <c r="E5" s="67">
        <f>D5*(1.02)</f>
        <v>-115063.03800000002</v>
      </c>
      <c r="F5" s="67">
        <f>E5*(1.02)</f>
        <v>-117364.29876000002</v>
      </c>
      <c r="G5" s="67">
        <f>F5*(1.02)</f>
        <v>-119711.58473520003</v>
      </c>
      <c r="H5" s="67">
        <f>G5*(1.02)</f>
        <v>-122105.81642990404</v>
      </c>
      <c r="J5" t="s">
        <v>144</v>
      </c>
      <c r="K5" s="67">
        <f>BS!C44+BS!C37+BS!C38</f>
        <v>7660000</v>
      </c>
    </row>
    <row r="6" spans="2:13" x14ac:dyDescent="0.2">
      <c r="B6" s="63" t="s">
        <v>131</v>
      </c>
      <c r="C6" s="96">
        <f>CF!D13</f>
        <v>-33000</v>
      </c>
      <c r="D6" s="67">
        <f>AVERAGE(CF!B13:D13)</f>
        <v>28000</v>
      </c>
      <c r="E6" s="67">
        <f>D6</f>
        <v>28000</v>
      </c>
      <c r="F6" s="67">
        <f>E6</f>
        <v>28000</v>
      </c>
      <c r="G6" s="67">
        <f>F6</f>
        <v>28000</v>
      </c>
      <c r="H6" s="67">
        <f>G6</f>
        <v>28000</v>
      </c>
      <c r="J6" s="103" t="s">
        <v>138</v>
      </c>
      <c r="K6" s="104">
        <f>K2+K3*K1</f>
        <v>0.11143752</v>
      </c>
    </row>
    <row r="7" spans="2:13" x14ac:dyDescent="0.2">
      <c r="B7" s="97"/>
      <c r="C7" s="98"/>
      <c r="D7" s="98"/>
      <c r="E7" s="98"/>
      <c r="F7" s="98"/>
      <c r="G7" s="97"/>
      <c r="H7" s="97"/>
      <c r="J7" s="103" t="s">
        <v>142</v>
      </c>
      <c r="K7" s="104">
        <f>K2+2.4%</f>
        <v>6.6700000000000009E-2</v>
      </c>
    </row>
    <row r="8" spans="2:13" x14ac:dyDescent="0.2">
      <c r="B8" s="99" t="s">
        <v>130</v>
      </c>
      <c r="C8" s="28">
        <f>C2+C3+C4+C5-C6</f>
        <v>1285405</v>
      </c>
      <c r="D8" s="28">
        <f>D2+D3+D4+D5-D6</f>
        <v>1569745.4938022285</v>
      </c>
      <c r="E8" s="28">
        <f>E2+E3+E4+E5-E6</f>
        <v>1712234.0905261843</v>
      </c>
      <c r="F8" s="28">
        <f>F2+F3+F4+F5-F6</f>
        <v>1987223.4799396049</v>
      </c>
      <c r="G8" s="28">
        <f>G2+G3+G4+G5-G6</f>
        <v>2113600.3900076458</v>
      </c>
      <c r="H8" s="28">
        <f>H2+H3+H4+H5-H6</f>
        <v>2213817.3540657195</v>
      </c>
      <c r="J8" s="103" t="s">
        <v>145</v>
      </c>
      <c r="K8" s="59">
        <v>0.03</v>
      </c>
    </row>
    <row r="9" spans="2:13" x14ac:dyDescent="0.2">
      <c r="B9" s="12" t="s">
        <v>151</v>
      </c>
      <c r="C9" s="12"/>
      <c r="D9" s="12"/>
      <c r="E9" s="12"/>
      <c r="F9" s="12"/>
      <c r="G9" s="12"/>
      <c r="H9" s="78">
        <f>((H8*(1+K8))/(K10-K8))</f>
        <v>30163568.996754732</v>
      </c>
    </row>
    <row r="10" spans="2:13" x14ac:dyDescent="0.2">
      <c r="B10" t="s">
        <v>153</v>
      </c>
      <c r="D10" s="105">
        <f>(1+$K$10)^1</f>
        <v>1.1055955594953972</v>
      </c>
      <c r="E10" s="105">
        <f>(1+$K$10)^2</f>
        <v>1.2223415411759404</v>
      </c>
      <c r="F10" s="105">
        <f>(1+$K$10)^3</f>
        <v>1.3514153801108799</v>
      </c>
      <c r="G10" s="105">
        <f>(1+$K$10)^4</f>
        <v>1.4941188432843733</v>
      </c>
      <c r="H10" s="105">
        <f>(1+$K$10)^5</f>
        <v>1.6518911584936025</v>
      </c>
      <c r="J10" s="12" t="s">
        <v>137</v>
      </c>
      <c r="K10" s="102">
        <f>((K4/(K5+K4))*K6)+((K5/(K5+K4))*K7)</f>
        <v>0.10559555949539721</v>
      </c>
    </row>
    <row r="12" spans="2:13" x14ac:dyDescent="0.2">
      <c r="B12" s="12" t="s">
        <v>152</v>
      </c>
      <c r="C12" s="78">
        <f>C8</f>
        <v>1285405</v>
      </c>
      <c r="D12" s="28">
        <f>D8/D10</f>
        <v>1419818.9205089365</v>
      </c>
      <c r="E12" s="28">
        <f>E8/E10</f>
        <v>1400782.0505543386</v>
      </c>
      <c r="F12" s="28">
        <f>F8/F10</f>
        <v>1470475.7021313156</v>
      </c>
      <c r="G12" s="28">
        <f>G8/G10</f>
        <v>1414613.3016845754</v>
      </c>
      <c r="H12" s="28">
        <f>H8/H10</f>
        <v>1340171.4408863054</v>
      </c>
    </row>
    <row r="13" spans="2:13" x14ac:dyDescent="0.2">
      <c r="B13" s="12" t="s">
        <v>154</v>
      </c>
      <c r="C13" s="12"/>
      <c r="D13" s="12"/>
      <c r="E13" s="12"/>
      <c r="F13" s="12"/>
      <c r="G13" s="12"/>
      <c r="H13" s="106">
        <f>H9/H10</f>
        <v>18260022.061175983</v>
      </c>
    </row>
    <row r="19" spans="2:3" x14ac:dyDescent="0.2">
      <c r="B19" t="s">
        <v>147</v>
      </c>
      <c r="C19" s="15">
        <f>SUM(C12:H13)</f>
        <v>26591288.476941455</v>
      </c>
    </row>
    <row r="20" spans="2:3" x14ac:dyDescent="0.2">
      <c r="B20" t="s">
        <v>148</v>
      </c>
      <c r="C20" s="67">
        <f>BS!C8+BS!C16+BS!C22+BS!C21</f>
        <v>14220000</v>
      </c>
    </row>
    <row r="21" spans="2:3" x14ac:dyDescent="0.2">
      <c r="B21" t="s">
        <v>144</v>
      </c>
      <c r="C21" s="15">
        <f>-K5</f>
        <v>-7660000</v>
      </c>
    </row>
    <row r="22" spans="2:3" x14ac:dyDescent="0.2">
      <c r="B22" t="s">
        <v>149</v>
      </c>
      <c r="C22" s="15">
        <f>SUM(C19:C21)</f>
        <v>33151288.476941451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DE22-2FC8-C64E-AC1C-4EAEB9785432}">
  <dimension ref="A2:I29"/>
  <sheetViews>
    <sheetView showGridLines="0" workbookViewId="0">
      <selection activeCell="C29" sqref="C29"/>
    </sheetView>
  </sheetViews>
  <sheetFormatPr baseColWidth="10" defaultRowHeight="15" x14ac:dyDescent="0.2"/>
  <cols>
    <col min="1" max="1" width="16" bestFit="1" customWidth="1"/>
    <col min="2" max="2" width="14.6640625" bestFit="1" customWidth="1"/>
    <col min="5" max="5" width="9" bestFit="1" customWidth="1"/>
    <col min="6" max="6" width="11.1640625" bestFit="1" customWidth="1"/>
    <col min="8" max="8" width="13.6640625" bestFit="1" customWidth="1"/>
  </cols>
  <sheetData>
    <row r="2" spans="1:9" x14ac:dyDescent="0.2">
      <c r="A2" s="110" t="s">
        <v>116</v>
      </c>
      <c r="B2" s="110" t="s">
        <v>143</v>
      </c>
      <c r="C2" s="110" t="s">
        <v>147</v>
      </c>
      <c r="D2" s="110" t="s">
        <v>158</v>
      </c>
      <c r="E2" s="110" t="s">
        <v>159</v>
      </c>
      <c r="F2" s="110" t="s">
        <v>160</v>
      </c>
      <c r="G2" s="110" t="s">
        <v>161</v>
      </c>
      <c r="H2" s="110" t="s">
        <v>162</v>
      </c>
      <c r="I2" s="110" t="s">
        <v>163</v>
      </c>
    </row>
    <row r="3" spans="1:9" x14ac:dyDescent="0.2">
      <c r="A3" s="111" t="s">
        <v>117</v>
      </c>
      <c r="B3" s="112">
        <v>52.726149120000002</v>
      </c>
      <c r="C3" s="112">
        <v>47.897391104</v>
      </c>
      <c r="D3" s="111">
        <v>6.9580000000000002</v>
      </c>
      <c r="E3" s="111">
        <v>28.661000000000001</v>
      </c>
      <c r="F3" s="113">
        <v>8.1691902460231702</v>
      </c>
      <c r="G3" s="113">
        <v>43.840805000000003</v>
      </c>
      <c r="H3" s="114" t="s">
        <v>155</v>
      </c>
      <c r="I3" s="114">
        <v>-0.222</v>
      </c>
    </row>
    <row r="4" spans="1:9" x14ac:dyDescent="0.2">
      <c r="A4" s="111" t="s">
        <v>118</v>
      </c>
      <c r="B4" s="112">
        <v>111.952166912</v>
      </c>
      <c r="C4" s="112">
        <v>110.891270144</v>
      </c>
      <c r="D4" s="111">
        <v>17.042000000000002</v>
      </c>
      <c r="E4" s="111">
        <v>24.158999999999999</v>
      </c>
      <c r="F4" s="113">
        <v>17.042366134286699</v>
      </c>
      <c r="G4" s="113">
        <v>27.928250999999999</v>
      </c>
      <c r="H4" s="114">
        <v>0.35</v>
      </c>
      <c r="I4" s="114">
        <v>0.08</v>
      </c>
    </row>
    <row r="5" spans="1:9" x14ac:dyDescent="0.2">
      <c r="A5" s="111" t="s">
        <v>120</v>
      </c>
      <c r="B5" s="112">
        <v>48.837238784</v>
      </c>
      <c r="C5" s="112">
        <v>57.536004095999999</v>
      </c>
      <c r="D5" s="111">
        <v>10.961</v>
      </c>
      <c r="E5" s="111">
        <v>18.459</v>
      </c>
      <c r="F5" s="113">
        <v>10.961326880839099</v>
      </c>
      <c r="G5" s="113">
        <v>27.679611000000001</v>
      </c>
      <c r="H5" s="114">
        <v>0.47599999999999998</v>
      </c>
      <c r="I5" s="114">
        <v>0.13400000000000001</v>
      </c>
    </row>
    <row r="6" spans="1:9" x14ac:dyDescent="0.2">
      <c r="A6" s="111" t="s">
        <v>122</v>
      </c>
      <c r="B6" s="112">
        <v>66.073632767999996</v>
      </c>
      <c r="C6" s="112">
        <v>65.887633407999999</v>
      </c>
      <c r="D6" s="111">
        <v>14.73</v>
      </c>
      <c r="E6" s="111">
        <v>30.85</v>
      </c>
      <c r="F6" s="113">
        <v>15.945783519841701</v>
      </c>
      <c r="G6" s="113">
        <v>35.799999999999997</v>
      </c>
      <c r="H6" s="114">
        <v>-0.34499999999999997</v>
      </c>
      <c r="I6" s="114">
        <v>0.26500000000000001</v>
      </c>
    </row>
    <row r="7" spans="1:9" x14ac:dyDescent="0.2">
      <c r="A7" s="111" t="s">
        <v>123</v>
      </c>
      <c r="B7" s="112">
        <v>112.523886592</v>
      </c>
      <c r="C7" s="112">
        <v>108.34</v>
      </c>
      <c r="D7" s="123">
        <v>10.6</v>
      </c>
      <c r="E7" s="120">
        <v>11.922526686475186</v>
      </c>
      <c r="F7" s="122">
        <v>11.83</v>
      </c>
      <c r="G7" s="113">
        <v>29.815314999999998</v>
      </c>
      <c r="H7" s="114">
        <v>0.30299999999999999</v>
      </c>
      <c r="I7" s="114">
        <v>0.152</v>
      </c>
    </row>
    <row r="8" spans="1:9" ht="18" x14ac:dyDescent="0.2">
      <c r="C8" s="121"/>
    </row>
    <row r="9" spans="1:9" x14ac:dyDescent="0.2">
      <c r="A9" s="111" t="s">
        <v>167</v>
      </c>
      <c r="B9" s="111"/>
      <c r="C9" s="115"/>
      <c r="D9" s="116">
        <f>AVERAGE(D4:D5)</f>
        <v>14.0015</v>
      </c>
      <c r="E9" s="116">
        <f>AVERAGE(E4:E7)</f>
        <v>21.347631671618792</v>
      </c>
      <c r="F9" s="116">
        <f>AVERAGE(F4:F7)</f>
        <v>13.944869133741875</v>
      </c>
      <c r="G9" s="116">
        <f>AVERAGE(G4:G7)</f>
        <v>30.305794249999998</v>
      </c>
    </row>
    <row r="10" spans="1:9" x14ac:dyDescent="0.2">
      <c r="A10" s="111" t="s">
        <v>168</v>
      </c>
      <c r="B10" s="111"/>
      <c r="C10" s="111"/>
      <c r="D10" s="116">
        <f>AVERAGE(D6:D7)</f>
        <v>12.664999999999999</v>
      </c>
      <c r="E10" s="116">
        <f>MEDIAN(E4:E7)</f>
        <v>21.308999999999997</v>
      </c>
      <c r="F10" s="116">
        <f>MEDIAN(F4:F7)</f>
        <v>13.887891759920851</v>
      </c>
      <c r="G10" s="116">
        <f>MEDIAN(G4:G7)</f>
        <v>28.871783000000001</v>
      </c>
    </row>
    <row r="13" spans="1:9" x14ac:dyDescent="0.2">
      <c r="A13" s="110" t="s">
        <v>116</v>
      </c>
      <c r="B13" s="110" t="s">
        <v>143</v>
      </c>
      <c r="C13" s="110" t="s">
        <v>147</v>
      </c>
      <c r="D13" s="110" t="s">
        <v>158</v>
      </c>
      <c r="E13" s="110" t="s">
        <v>159</v>
      </c>
      <c r="F13" s="110" t="s">
        <v>160</v>
      </c>
      <c r="G13" s="110" t="s">
        <v>161</v>
      </c>
      <c r="H13" s="110" t="s">
        <v>162</v>
      </c>
      <c r="I13" s="110" t="s">
        <v>163</v>
      </c>
    </row>
    <row r="14" spans="1:9" x14ac:dyDescent="0.2">
      <c r="A14" s="111" t="s">
        <v>157</v>
      </c>
      <c r="B14" s="111">
        <v>444.42504400000001</v>
      </c>
      <c r="C14" s="111">
        <v>453.05761000000001</v>
      </c>
      <c r="D14" s="111">
        <v>13.817</v>
      </c>
      <c r="E14" s="111">
        <v>22.053000000000001</v>
      </c>
      <c r="F14" s="111">
        <v>13.816523999999999</v>
      </c>
      <c r="G14" s="111">
        <v>30.126434</v>
      </c>
      <c r="H14" s="117">
        <v>0.24199999999999999</v>
      </c>
      <c r="I14" s="117">
        <v>0.17599999999999999</v>
      </c>
    </row>
    <row r="15" spans="1:9" x14ac:dyDescent="0.2">
      <c r="A15" s="111" t="s">
        <v>119</v>
      </c>
      <c r="B15" s="111">
        <v>592.17811900000004</v>
      </c>
      <c r="C15" s="111">
        <v>590.82191699999998</v>
      </c>
      <c r="D15" s="111">
        <v>14.273999999999999</v>
      </c>
      <c r="E15" s="111">
        <v>20.382000000000001</v>
      </c>
      <c r="F15" s="111">
        <v>14.598692</v>
      </c>
      <c r="G15" s="111">
        <v>28.812384000000002</v>
      </c>
      <c r="H15" s="117">
        <v>0.17399999999999999</v>
      </c>
      <c r="I15" s="117">
        <v>0.14599999999999999</v>
      </c>
    </row>
    <row r="16" spans="1:9" x14ac:dyDescent="0.2">
      <c r="A16" s="111" t="s">
        <v>121</v>
      </c>
      <c r="B16" s="111">
        <v>42.010776</v>
      </c>
      <c r="C16" s="111">
        <v>43.211837000000003</v>
      </c>
      <c r="D16" s="111">
        <v>1.3029999999999999</v>
      </c>
      <c r="E16" s="111">
        <v>6.4989999999999997</v>
      </c>
      <c r="F16" s="111">
        <v>3.1401500000000002</v>
      </c>
      <c r="G16" s="111">
        <v>8.2994459999999997</v>
      </c>
      <c r="H16" s="117">
        <v>0.39400000000000002</v>
      </c>
      <c r="I16" s="117">
        <v>3.6999999999999998E-2</v>
      </c>
    </row>
    <row r="17" spans="1:9" x14ac:dyDescent="0.2">
      <c r="A17" s="118" t="s">
        <v>124</v>
      </c>
      <c r="B17" s="118">
        <v>30.631152</v>
      </c>
      <c r="C17" s="118">
        <v>26.463107000000001</v>
      </c>
      <c r="D17" s="118">
        <v>9.6349999999999998</v>
      </c>
      <c r="E17" s="118">
        <v>-304.91300000000001</v>
      </c>
      <c r="F17" s="118">
        <v>111.139853</v>
      </c>
      <c r="G17" s="118" t="s">
        <v>155</v>
      </c>
      <c r="H17" s="119">
        <v>8.8019999999999996</v>
      </c>
      <c r="I17" s="119">
        <v>0.76900000000000002</v>
      </c>
    </row>
    <row r="18" spans="1:9" x14ac:dyDescent="0.2">
      <c r="A18" s="111"/>
      <c r="B18" s="111"/>
      <c r="C18" s="111"/>
      <c r="D18" s="111"/>
      <c r="E18" s="111"/>
      <c r="F18" s="111"/>
      <c r="G18" s="111"/>
      <c r="H18" s="111"/>
      <c r="I18" s="111"/>
    </row>
    <row r="19" spans="1:9" x14ac:dyDescent="0.2">
      <c r="A19" s="111"/>
      <c r="B19" s="111"/>
      <c r="C19" s="111"/>
      <c r="D19" s="111"/>
      <c r="E19" s="111"/>
      <c r="F19" s="111"/>
      <c r="G19" s="111"/>
      <c r="H19" s="111"/>
      <c r="I19" s="111"/>
    </row>
    <row r="20" spans="1:9" x14ac:dyDescent="0.2">
      <c r="A20" s="111" t="s">
        <v>156</v>
      </c>
      <c r="B20" s="111"/>
      <c r="C20" s="111"/>
      <c r="D20" s="116">
        <f>AVERAGE(D14:D16)</f>
        <v>9.798</v>
      </c>
      <c r="E20" s="116">
        <f>AVERAGE(E14:E16)</f>
        <v>16.311333333333334</v>
      </c>
      <c r="F20" s="116">
        <f>AVERAGE(F14:F16)</f>
        <v>10.518455333333334</v>
      </c>
      <c r="G20" s="116">
        <f>AVERAGE(G14:G16)</f>
        <v>22.412754666666668</v>
      </c>
      <c r="H20" s="111"/>
      <c r="I20" s="111"/>
    </row>
    <row r="21" spans="1:9" x14ac:dyDescent="0.2">
      <c r="A21" s="111"/>
      <c r="B21" s="111"/>
      <c r="C21" s="111"/>
      <c r="D21" s="116"/>
      <c r="E21" s="116"/>
      <c r="F21" s="116"/>
      <c r="G21" s="116"/>
      <c r="H21" s="111"/>
      <c r="I21" s="111"/>
    </row>
    <row r="25" spans="1:9" x14ac:dyDescent="0.2">
      <c r="A25" t="s">
        <v>166</v>
      </c>
      <c r="B25" s="28">
        <f>Model!E12</f>
        <v>7181000</v>
      </c>
    </row>
    <row r="26" spans="1:9" x14ac:dyDescent="0.2">
      <c r="A26" t="s">
        <v>165</v>
      </c>
      <c r="B26" s="124">
        <f>D9*0.25+D20*0.25+0.5*D10</f>
        <v>12.282375</v>
      </c>
    </row>
    <row r="27" spans="1:9" x14ac:dyDescent="0.2">
      <c r="A27" s="89" t="s">
        <v>147</v>
      </c>
      <c r="B27" s="125">
        <f>B25*B26</f>
        <v>88199734.875</v>
      </c>
    </row>
    <row r="28" spans="1:9" x14ac:dyDescent="0.2">
      <c r="A28" t="s">
        <v>146</v>
      </c>
      <c r="B28" s="126">
        <v>-0.25</v>
      </c>
      <c r="C28" t="s">
        <v>170</v>
      </c>
    </row>
    <row r="29" spans="1:9" x14ac:dyDescent="0.2">
      <c r="A29" t="s">
        <v>169</v>
      </c>
      <c r="B29" s="78">
        <f>B27*(1+B28)</f>
        <v>66149801.15625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Thesis</vt:lpstr>
      <vt:lpstr>Reporting</vt:lpstr>
      <vt:lpstr>IS</vt:lpstr>
      <vt:lpstr>BS</vt:lpstr>
      <vt:lpstr>CF</vt:lpstr>
      <vt:lpstr>Analysis</vt:lpstr>
      <vt:lpstr>Metrics</vt:lpstr>
      <vt:lpstr>Model</vt:lpstr>
      <vt:lpstr>DCF</vt:lpstr>
      <vt:lpstr>Comps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Naoufel Lassel</cp:lastModifiedBy>
  <dcterms:created xsi:type="dcterms:W3CDTF">2026-03-01T14:25:52Z</dcterms:created>
  <dcterms:modified xsi:type="dcterms:W3CDTF">2026-03-15T19:39:33Z</dcterms:modified>
</cp:coreProperties>
</file>